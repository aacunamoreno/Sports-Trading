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\Downloads\"/>
    </mc:Choice>
  </mc:AlternateContent>
  <xr:revisionPtr revIDLastSave="0" documentId="8_{AE6F53C6-E588-4F73-92CC-85F0F0B25A25}" xr6:coauthVersionLast="47" xr6:coauthVersionMax="47" xr10:uidLastSave="{00000000-0000-0000-0000-000000000000}"/>
  <bookViews>
    <workbookView xWindow="-120" yWindow="-120" windowWidth="29040" windowHeight="15720" xr2:uid="{D5BC8AC9-A84C-4663-921D-15E007FDB1FC}"/>
  </bookViews>
  <sheets>
    <sheet name="WEEK 1" sheetId="3" r:id="rId1"/>
    <sheet name="WEEK 2" sheetId="4" r:id="rId2"/>
    <sheet name="WEEK 3" sheetId="5" r:id="rId3"/>
    <sheet name="WEEK 4" sheetId="6" r:id="rId4"/>
    <sheet name="WEEK 5" sheetId="7" r:id="rId5"/>
    <sheet name="WEEK 6" sheetId="8" r:id="rId6"/>
    <sheet name="WEEK 7" sheetId="9" r:id="rId7"/>
    <sheet name="WEEK 8" sheetId="10" r:id="rId8"/>
    <sheet name="WEEK 9" sheetId="11" r:id="rId9"/>
    <sheet name="WEEK 10" sheetId="2" r:id="rId10"/>
    <sheet name="WEEK 11" sheetId="12" r:id="rId11"/>
    <sheet name="WEEK 12" sheetId="13" r:id="rId12"/>
    <sheet name="WEEK 13" sheetId="14" r:id="rId13"/>
    <sheet name="WEEK 14" sheetId="15" r:id="rId14"/>
    <sheet name="WEEK 15" sheetId="16" r:id="rId15"/>
    <sheet name="WEEK 16" sheetId="17" r:id="rId16"/>
    <sheet name="WEEK 17" sheetId="18" r:id="rId17"/>
    <sheet name="WEEK 18" sheetId="1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3" l="1"/>
  <c r="D11" i="3"/>
  <c r="D16" i="3"/>
  <c r="D18" i="3"/>
  <c r="D22" i="3"/>
  <c r="D24" i="3"/>
  <c r="D28" i="3"/>
  <c r="D30" i="3"/>
  <c r="D34" i="3"/>
  <c r="D36" i="3"/>
  <c r="D40" i="3"/>
  <c r="D42" i="3"/>
  <c r="D46" i="3"/>
  <c r="D48" i="3"/>
  <c r="D52" i="3"/>
  <c r="D54" i="3"/>
  <c r="D58" i="3"/>
  <c r="D60" i="3"/>
  <c r="D64" i="3"/>
  <c r="D66" i="3"/>
  <c r="D70" i="3"/>
  <c r="D72" i="3"/>
  <c r="D76" i="3"/>
  <c r="D78" i="3"/>
  <c r="D82" i="3"/>
  <c r="D84" i="3"/>
  <c r="D88" i="3"/>
  <c r="D90" i="3"/>
  <c r="D94" i="3"/>
  <c r="D96" i="3"/>
  <c r="D101" i="3"/>
  <c r="D103" i="3"/>
  <c r="D9" i="4"/>
  <c r="C14" i="4"/>
  <c r="C16" i="4"/>
  <c r="C18" i="4"/>
  <c r="D14" i="4"/>
  <c r="D23" i="4"/>
  <c r="C28" i="4"/>
  <c r="C30" i="4"/>
  <c r="C32" i="4"/>
  <c r="D28" i="4"/>
  <c r="C35" i="4"/>
  <c r="C37" i="4"/>
  <c r="C39" i="4"/>
  <c r="D35" i="4"/>
  <c r="D40" i="4"/>
  <c r="C52" i="4"/>
  <c r="C54" i="4"/>
  <c r="C56" i="4"/>
  <c r="D52" i="4"/>
  <c r="C59" i="4"/>
  <c r="C61" i="4"/>
  <c r="C63" i="4"/>
  <c r="D59" i="4"/>
  <c r="D64" i="4"/>
  <c r="D71" i="4"/>
  <c r="C76" i="4"/>
  <c r="C78" i="4"/>
  <c r="C80" i="4"/>
  <c r="D76" i="4"/>
  <c r="D83" i="4"/>
  <c r="C88" i="4"/>
  <c r="C90" i="4"/>
  <c r="C92" i="4"/>
  <c r="D88" i="4"/>
  <c r="C95" i="4"/>
  <c r="C97" i="4"/>
  <c r="C99" i="4"/>
  <c r="D95" i="4"/>
  <c r="D100" i="4"/>
  <c r="D107" i="4"/>
  <c r="C112" i="4"/>
  <c r="C114" i="4"/>
  <c r="C116" i="4"/>
  <c r="D112" i="4"/>
  <c r="D119" i="4"/>
  <c r="C124" i="4"/>
  <c r="C126" i="4"/>
  <c r="C128" i="4"/>
  <c r="D124" i="4"/>
  <c r="D131" i="4"/>
  <c r="C136" i="4"/>
  <c r="C138" i="4"/>
  <c r="C140" i="4"/>
  <c r="D136" i="4"/>
  <c r="C143" i="4"/>
  <c r="C145" i="4"/>
  <c r="C147" i="4"/>
  <c r="D143" i="4"/>
  <c r="D148" i="4"/>
  <c r="C155" i="4"/>
  <c r="C157" i="4"/>
  <c r="C159" i="4"/>
  <c r="D155" i="4"/>
  <c r="D160" i="4"/>
  <c r="D167" i="4"/>
  <c r="C172" i="4"/>
  <c r="C174" i="4"/>
  <c r="C176" i="4"/>
  <c r="D172" i="4"/>
  <c r="D180" i="4"/>
  <c r="C185" i="4"/>
  <c r="C187" i="4"/>
  <c r="C189" i="4"/>
  <c r="D185" i="4"/>
  <c r="C193" i="4"/>
  <c r="C195" i="4"/>
  <c r="C197" i="4"/>
  <c r="D193" i="4"/>
  <c r="D198" i="4"/>
  <c r="D9" i="5"/>
  <c r="C14" i="5"/>
  <c r="C16" i="5"/>
  <c r="C18" i="5"/>
  <c r="D14" i="5"/>
  <c r="D23" i="5"/>
  <c r="C28" i="5"/>
  <c r="C30" i="5"/>
  <c r="C32" i="5"/>
  <c r="D28" i="5"/>
  <c r="C40" i="5"/>
  <c r="C42" i="5"/>
  <c r="C44" i="5"/>
  <c r="D40" i="5"/>
  <c r="D47" i="5"/>
  <c r="C52" i="5"/>
  <c r="C54" i="5"/>
  <c r="C56" i="5"/>
  <c r="D52" i="5"/>
  <c r="C59" i="5"/>
  <c r="C61" i="5"/>
  <c r="C63" i="5"/>
  <c r="D59" i="5"/>
  <c r="D64" i="5"/>
  <c r="C71" i="5"/>
  <c r="C73" i="5"/>
  <c r="C75" i="5"/>
  <c r="D71" i="5"/>
  <c r="C83" i="5"/>
  <c r="C85" i="5"/>
  <c r="C87" i="5"/>
  <c r="D83" i="5"/>
  <c r="D88" i="5"/>
  <c r="C95" i="5"/>
  <c r="C97" i="5"/>
  <c r="C99" i="5"/>
  <c r="D95" i="5"/>
  <c r="D100" i="5"/>
  <c r="D107" i="5"/>
  <c r="C112" i="5"/>
  <c r="C114" i="5"/>
  <c r="C116" i="5"/>
  <c r="D112" i="5"/>
  <c r="D119" i="5"/>
  <c r="C124" i="5"/>
  <c r="C126" i="5"/>
  <c r="C128" i="5"/>
  <c r="D124" i="5"/>
  <c r="D131" i="5"/>
  <c r="C136" i="5"/>
  <c r="C138" i="5"/>
  <c r="C140" i="5"/>
  <c r="D136" i="5"/>
  <c r="C148" i="5"/>
  <c r="C150" i="5"/>
  <c r="C152" i="5"/>
  <c r="D148" i="5"/>
  <c r="C155" i="5"/>
  <c r="C157" i="5"/>
  <c r="C159" i="5"/>
  <c r="D155" i="5"/>
  <c r="D160" i="5"/>
  <c r="D167" i="5"/>
  <c r="C172" i="5"/>
  <c r="C174" i="5"/>
  <c r="C176" i="5"/>
  <c r="D172" i="5"/>
  <c r="C179" i="5"/>
  <c r="C181" i="5"/>
  <c r="C183" i="5"/>
  <c r="D179" i="5"/>
  <c r="D184" i="5"/>
  <c r="D192" i="5"/>
  <c r="C197" i="5"/>
  <c r="C199" i="5"/>
  <c r="C201" i="5"/>
  <c r="D197" i="5"/>
  <c r="D9" i="6"/>
  <c r="D11" i="6"/>
  <c r="D17" i="6"/>
  <c r="D19" i="6"/>
  <c r="D23" i="6"/>
  <c r="D25" i="6"/>
  <c r="D29" i="6"/>
  <c r="D31" i="6"/>
  <c r="D35" i="6"/>
  <c r="D37" i="6"/>
  <c r="D41" i="6"/>
  <c r="D43" i="6"/>
  <c r="D47" i="6"/>
  <c r="D49" i="6"/>
  <c r="D53" i="6"/>
  <c r="D55" i="6"/>
  <c r="D59" i="6"/>
  <c r="D61" i="6"/>
  <c r="D65" i="6"/>
  <c r="D71" i="6"/>
  <c r="D73" i="6"/>
  <c r="D77" i="6"/>
  <c r="D79" i="6"/>
  <c r="D83" i="6"/>
  <c r="D89" i="6"/>
  <c r="D91" i="6"/>
  <c r="D96" i="6"/>
  <c r="D98" i="6"/>
  <c r="D103" i="6"/>
  <c r="D105" i="6"/>
  <c r="D9" i="7"/>
  <c r="D11" i="7"/>
  <c r="D17" i="7"/>
  <c r="D19" i="7"/>
  <c r="D23" i="7"/>
  <c r="D25" i="7"/>
  <c r="D29" i="7"/>
  <c r="D31" i="7"/>
  <c r="D35" i="7"/>
  <c r="D37" i="7"/>
  <c r="D41" i="7"/>
  <c r="D43" i="7"/>
  <c r="D47" i="7"/>
  <c r="D49" i="7"/>
  <c r="D53" i="7"/>
  <c r="D55" i="7"/>
  <c r="D59" i="7"/>
  <c r="D61" i="7"/>
  <c r="D65" i="7"/>
  <c r="D67" i="7"/>
  <c r="D71" i="7"/>
  <c r="D73" i="7"/>
  <c r="D77" i="7"/>
  <c r="D79" i="7"/>
  <c r="D83" i="7"/>
  <c r="D85" i="7"/>
  <c r="D90" i="7"/>
  <c r="D92" i="7"/>
  <c r="C9" i="8"/>
  <c r="C11" i="8"/>
  <c r="C13" i="8"/>
  <c r="D9" i="8"/>
  <c r="D28" i="8"/>
  <c r="C39" i="8"/>
  <c r="D40" i="8"/>
  <c r="D47" i="8"/>
  <c r="C52" i="8"/>
  <c r="C54" i="8"/>
  <c r="C56" i="8"/>
  <c r="D52" i="8"/>
  <c r="D59" i="8"/>
  <c r="C64" i="8"/>
  <c r="C66" i="8"/>
  <c r="C68" i="8"/>
  <c r="D64" i="8"/>
  <c r="C71" i="8"/>
  <c r="C73" i="8"/>
  <c r="C75" i="8"/>
  <c r="D71" i="8"/>
  <c r="D76" i="8"/>
  <c r="C83" i="8"/>
  <c r="C85" i="8"/>
  <c r="C87" i="8"/>
  <c r="D83" i="8"/>
  <c r="C95" i="8"/>
  <c r="C97" i="8"/>
  <c r="C99" i="8"/>
  <c r="D95" i="8"/>
  <c r="D100" i="8"/>
  <c r="C107" i="8"/>
  <c r="C109" i="8"/>
  <c r="C111" i="8"/>
  <c r="D107" i="8"/>
  <c r="D112" i="8"/>
  <c r="D119" i="8"/>
  <c r="C124" i="8"/>
  <c r="C126" i="8"/>
  <c r="C128" i="8"/>
  <c r="D124" i="8"/>
  <c r="D131" i="8"/>
  <c r="C136" i="8"/>
  <c r="C138" i="8"/>
  <c r="C140" i="8"/>
  <c r="D136" i="8"/>
  <c r="D143" i="8"/>
  <c r="C148" i="8"/>
  <c r="C150" i="8"/>
  <c r="C152" i="8"/>
  <c r="D148" i="8"/>
  <c r="D155" i="8"/>
  <c r="C160" i="8"/>
  <c r="C162" i="8"/>
  <c r="C164" i="8"/>
  <c r="D160" i="8"/>
  <c r="C168" i="8"/>
  <c r="C170" i="8"/>
  <c r="C172" i="8"/>
  <c r="D168" i="8"/>
  <c r="D173" i="8"/>
  <c r="D181" i="8"/>
  <c r="C186" i="8"/>
  <c r="C188" i="8"/>
  <c r="C190" i="8"/>
  <c r="D186" i="8"/>
  <c r="D9" i="9"/>
  <c r="D11" i="9"/>
  <c r="D17" i="9"/>
  <c r="D19" i="9"/>
  <c r="D23" i="9"/>
  <c r="D25" i="9"/>
  <c r="D29" i="9"/>
  <c r="D31" i="9"/>
  <c r="D35" i="9"/>
  <c r="D37" i="9"/>
  <c r="D41" i="9"/>
  <c r="D43" i="9"/>
  <c r="D47" i="9"/>
  <c r="D49" i="9"/>
  <c r="D55" i="9"/>
  <c r="D59" i="9"/>
  <c r="D61" i="9"/>
  <c r="D65" i="9"/>
  <c r="D67" i="9"/>
  <c r="D71" i="9"/>
  <c r="D73" i="9"/>
  <c r="D77" i="9"/>
  <c r="D79" i="9"/>
  <c r="D83" i="9"/>
  <c r="D90" i="9"/>
  <c r="D92" i="9"/>
  <c r="D97" i="9"/>
  <c r="D99" i="9"/>
  <c r="D9" i="10"/>
  <c r="C18" i="10"/>
  <c r="D23" i="10"/>
  <c r="C28" i="10"/>
  <c r="C30" i="10"/>
  <c r="C32" i="10"/>
  <c r="D28" i="10"/>
  <c r="D35" i="10"/>
  <c r="C40" i="10"/>
  <c r="C42" i="10"/>
  <c r="C44" i="10"/>
  <c r="D40" i="10"/>
  <c r="D47" i="10"/>
  <c r="C52" i="10"/>
  <c r="C54" i="10"/>
  <c r="C56" i="10"/>
  <c r="D52" i="10"/>
  <c r="D59" i="10"/>
  <c r="C64" i="10"/>
  <c r="C66" i="10"/>
  <c r="C68" i="10"/>
  <c r="D64" i="10"/>
  <c r="D71" i="10"/>
  <c r="C76" i="10"/>
  <c r="C78" i="10"/>
  <c r="C80" i="10"/>
  <c r="D76" i="10"/>
  <c r="D83" i="10"/>
  <c r="C88" i="10"/>
  <c r="C90" i="10"/>
  <c r="C92" i="10"/>
  <c r="D88" i="10"/>
  <c r="C95" i="10"/>
  <c r="C97" i="10"/>
  <c r="C99" i="10"/>
  <c r="D95" i="10"/>
  <c r="C107" i="10"/>
  <c r="C109" i="10"/>
  <c r="C111" i="10"/>
  <c r="D107" i="10"/>
  <c r="D112" i="10"/>
  <c r="D119" i="10"/>
  <c r="C124" i="10"/>
  <c r="C126" i="10"/>
  <c r="C128" i="10"/>
  <c r="D124" i="10"/>
  <c r="D131" i="10"/>
  <c r="C136" i="10"/>
  <c r="C138" i="10"/>
  <c r="C140" i="10"/>
  <c r="D136" i="10"/>
  <c r="C143" i="10"/>
  <c r="C145" i="10"/>
  <c r="C147" i="10"/>
  <c r="D143" i="10"/>
  <c r="D148" i="10"/>
  <c r="D156" i="10"/>
  <c r="C161" i="10"/>
  <c r="C163" i="10"/>
  <c r="C165" i="10"/>
  <c r="D161" i="10"/>
  <c r="C9" i="11"/>
  <c r="C11" i="11"/>
  <c r="C13" i="11"/>
  <c r="D9" i="11"/>
  <c r="D14" i="11"/>
  <c r="C23" i="11"/>
  <c r="C25" i="11"/>
  <c r="D23" i="11"/>
  <c r="C35" i="11"/>
  <c r="C37" i="11"/>
  <c r="C39" i="11"/>
  <c r="D35" i="11"/>
  <c r="D40" i="11"/>
  <c r="C47" i="11"/>
  <c r="C49" i="11"/>
  <c r="C51" i="11"/>
  <c r="D47" i="11"/>
  <c r="D52" i="11"/>
  <c r="D59" i="11"/>
  <c r="C64" i="11"/>
  <c r="C66" i="11"/>
  <c r="C68" i="11"/>
  <c r="D64" i="11"/>
  <c r="D71" i="11"/>
  <c r="C76" i="11"/>
  <c r="C78" i="11"/>
  <c r="C80" i="11"/>
  <c r="D76" i="11"/>
  <c r="D83" i="11"/>
  <c r="C88" i="11"/>
  <c r="C90" i="11"/>
  <c r="C92" i="11"/>
  <c r="D88" i="11"/>
  <c r="C95" i="11"/>
  <c r="C97" i="11"/>
  <c r="C99" i="11"/>
  <c r="D95" i="11"/>
  <c r="D107" i="11"/>
  <c r="C112" i="11"/>
  <c r="C114" i="11"/>
  <c r="C116" i="11"/>
  <c r="D112" i="11"/>
  <c r="C119" i="11"/>
  <c r="C121" i="11"/>
  <c r="C123" i="11"/>
  <c r="D119" i="11"/>
  <c r="D124" i="11"/>
  <c r="D131" i="11"/>
  <c r="C136" i="11"/>
  <c r="C138" i="11"/>
  <c r="C140" i="11"/>
  <c r="D136" i="11"/>
  <c r="C143" i="11"/>
  <c r="C145" i="11"/>
  <c r="C147" i="11"/>
  <c r="D143" i="11"/>
  <c r="D148" i="11"/>
  <c r="C155" i="11"/>
  <c r="C157" i="11"/>
  <c r="C159" i="11"/>
  <c r="D155" i="11"/>
  <c r="D168" i="11"/>
  <c r="C173" i="11"/>
  <c r="C175" i="11"/>
  <c r="C177" i="11"/>
  <c r="D173" i="11"/>
  <c r="D9" i="2"/>
  <c r="C14" i="2"/>
  <c r="C16" i="2"/>
  <c r="C18" i="2"/>
  <c r="D14" i="2"/>
  <c r="D23" i="2"/>
  <c r="C28" i="2"/>
  <c r="C30" i="2"/>
  <c r="C32" i="2"/>
  <c r="D28" i="2"/>
  <c r="C35" i="2"/>
  <c r="C37" i="2"/>
  <c r="C39" i="2"/>
  <c r="D35" i="2"/>
  <c r="D40" i="2"/>
  <c r="D47" i="2"/>
  <c r="C52" i="2"/>
  <c r="C54" i="2"/>
  <c r="C56" i="2"/>
  <c r="D52" i="2"/>
  <c r="C59" i="2"/>
  <c r="C61" i="2"/>
  <c r="C63" i="2"/>
  <c r="D59" i="2"/>
  <c r="D64" i="2"/>
  <c r="C76" i="2"/>
  <c r="C78" i="2"/>
  <c r="C80" i="2"/>
  <c r="D76" i="2"/>
  <c r="D83" i="2"/>
  <c r="D88" i="2"/>
  <c r="C95" i="2"/>
  <c r="C97" i="2"/>
  <c r="C99" i="2"/>
  <c r="D95" i="2"/>
  <c r="D100" i="2"/>
  <c r="D107" i="2"/>
  <c r="C112" i="2"/>
  <c r="C114" i="2"/>
  <c r="C116" i="2"/>
  <c r="D112" i="2"/>
  <c r="D119" i="2"/>
  <c r="C124" i="2"/>
  <c r="C126" i="2"/>
  <c r="C128" i="2"/>
  <c r="D124" i="2"/>
  <c r="C131" i="2"/>
  <c r="C133" i="2"/>
  <c r="C135" i="2"/>
  <c r="D131" i="2"/>
  <c r="D136" i="2"/>
  <c r="C143" i="2"/>
  <c r="C145" i="2"/>
  <c r="C147" i="2"/>
  <c r="D143" i="2"/>
  <c r="D148" i="2"/>
  <c r="C160" i="2"/>
  <c r="C162" i="2"/>
  <c r="C164" i="2"/>
  <c r="D160" i="2"/>
  <c r="D168" i="2"/>
  <c r="C175" i="2"/>
  <c r="C177" i="2"/>
  <c r="D173" i="2"/>
  <c r="D9" i="12"/>
  <c r="D11" i="12"/>
  <c r="D17" i="12"/>
  <c r="D19" i="12"/>
  <c r="D23" i="12"/>
  <c r="D25" i="12"/>
  <c r="D29" i="12"/>
  <c r="D31" i="12"/>
  <c r="D35" i="12"/>
  <c r="D37" i="12"/>
  <c r="D41" i="12"/>
  <c r="D43" i="12"/>
  <c r="D47" i="12"/>
  <c r="D49" i="12"/>
  <c r="D53" i="12"/>
  <c r="D55" i="12"/>
  <c r="D59" i="12"/>
  <c r="D61" i="12"/>
  <c r="D67" i="12"/>
  <c r="D73" i="12"/>
  <c r="D77" i="12"/>
  <c r="D79" i="12"/>
  <c r="D83" i="12"/>
  <c r="D89" i="12"/>
  <c r="D91" i="12"/>
  <c r="D96" i="12"/>
  <c r="D98" i="12"/>
  <c r="C9" i="13"/>
  <c r="C11" i="13"/>
  <c r="C13" i="13"/>
  <c r="D9" i="13"/>
  <c r="D14" i="13"/>
  <c r="C23" i="13"/>
  <c r="C25" i="13"/>
  <c r="C27" i="13"/>
  <c r="D23" i="13"/>
  <c r="D28" i="13"/>
  <c r="C40" i="13"/>
  <c r="C42" i="13"/>
  <c r="C44" i="13"/>
  <c r="D40" i="13"/>
  <c r="D47" i="13"/>
  <c r="C52" i="13"/>
  <c r="C54" i="13"/>
  <c r="C56" i="13"/>
  <c r="D52" i="13"/>
  <c r="D59" i="13"/>
  <c r="C64" i="13"/>
  <c r="C66" i="13"/>
  <c r="C68" i="13"/>
  <c r="D64" i="13"/>
  <c r="D71" i="13"/>
  <c r="C76" i="13"/>
  <c r="C78" i="13"/>
  <c r="C80" i="13"/>
  <c r="D76" i="13"/>
  <c r="C83" i="13"/>
  <c r="C85" i="13"/>
  <c r="C87" i="13"/>
  <c r="D83" i="13"/>
  <c r="D88" i="13"/>
  <c r="D95" i="13"/>
  <c r="C100" i="13"/>
  <c r="C102" i="13"/>
  <c r="C104" i="13"/>
  <c r="D100" i="13"/>
  <c r="D107" i="13"/>
  <c r="C112" i="13"/>
  <c r="C114" i="13"/>
  <c r="D112" i="13"/>
  <c r="C121" i="13"/>
  <c r="C123" i="13"/>
  <c r="D124" i="13"/>
  <c r="D131" i="13"/>
  <c r="C136" i="13"/>
  <c r="C138" i="13"/>
  <c r="C140" i="13"/>
  <c r="D136" i="13"/>
  <c r="C143" i="13"/>
  <c r="C145" i="13"/>
  <c r="C147" i="13"/>
  <c r="D143" i="13"/>
  <c r="D148" i="13"/>
  <c r="D155" i="13"/>
  <c r="C160" i="13"/>
  <c r="C162" i="13"/>
  <c r="C164" i="13"/>
  <c r="D160" i="13"/>
  <c r="D168" i="13"/>
  <c r="C173" i="13"/>
  <c r="C175" i="13"/>
  <c r="C177" i="13"/>
  <c r="D173" i="13"/>
  <c r="D9" i="14"/>
  <c r="C14" i="14"/>
  <c r="C16" i="14"/>
  <c r="C18" i="14"/>
  <c r="D14" i="14"/>
  <c r="C22" i="14"/>
  <c r="C24" i="14"/>
  <c r="C26" i="14"/>
  <c r="D22" i="14"/>
  <c r="D27" i="14"/>
  <c r="C39" i="14"/>
  <c r="C41" i="14"/>
  <c r="C43" i="14"/>
  <c r="D39" i="14"/>
  <c r="D46" i="14"/>
  <c r="C51" i="14"/>
  <c r="C53" i="14"/>
  <c r="C55" i="14"/>
  <c r="D51" i="14"/>
  <c r="D58" i="14"/>
  <c r="C63" i="14"/>
  <c r="C65" i="14"/>
  <c r="C67" i="14"/>
  <c r="D63" i="14"/>
  <c r="C70" i="14"/>
  <c r="C72" i="14"/>
  <c r="C74" i="14"/>
  <c r="D70" i="14"/>
  <c r="D75" i="14"/>
  <c r="C82" i="14"/>
  <c r="C84" i="14"/>
  <c r="C86" i="14"/>
  <c r="D82" i="14"/>
  <c r="D87" i="14"/>
  <c r="C94" i="14"/>
  <c r="C96" i="14"/>
  <c r="C98" i="14"/>
  <c r="D94" i="14"/>
  <c r="D99" i="14"/>
  <c r="C106" i="14"/>
  <c r="C108" i="14"/>
  <c r="C110" i="14"/>
  <c r="D106" i="14"/>
  <c r="D111" i="14"/>
  <c r="D118" i="14"/>
  <c r="C123" i="14"/>
  <c r="C125" i="14"/>
  <c r="C127" i="14"/>
  <c r="D123" i="14"/>
  <c r="D130" i="14"/>
  <c r="C135" i="14"/>
  <c r="C137" i="14"/>
  <c r="C139" i="14"/>
  <c r="D135" i="14"/>
  <c r="D142" i="14"/>
  <c r="C147" i="14"/>
  <c r="C149" i="14"/>
  <c r="C151" i="14"/>
  <c r="D147" i="14"/>
  <c r="C154" i="14"/>
  <c r="C156" i="14"/>
  <c r="C158" i="14"/>
  <c r="D154" i="14"/>
  <c r="D166" i="14"/>
  <c r="C171" i="14"/>
  <c r="C173" i="14"/>
  <c r="C175" i="14"/>
  <c r="D171" i="14"/>
  <c r="C178" i="14"/>
  <c r="C180" i="14"/>
  <c r="C182" i="14"/>
  <c r="D178" i="14"/>
  <c r="D183" i="14"/>
  <c r="D191" i="14"/>
  <c r="C196" i="14"/>
  <c r="C198" i="14"/>
  <c r="C200" i="14"/>
  <c r="D196" i="14"/>
  <c r="D9" i="15"/>
  <c r="C14" i="15"/>
  <c r="D14" i="15"/>
  <c r="C23" i="15"/>
  <c r="C25" i="15"/>
  <c r="C27" i="15"/>
  <c r="D23" i="15"/>
  <c r="D28" i="15"/>
  <c r="D35" i="15"/>
  <c r="C40" i="15"/>
  <c r="C42" i="15"/>
  <c r="C44" i="15"/>
  <c r="D40" i="15"/>
  <c r="D47" i="15"/>
  <c r="C52" i="15"/>
  <c r="C54" i="15"/>
  <c r="C56" i="15"/>
  <c r="D52" i="15"/>
  <c r="D59" i="15"/>
  <c r="C64" i="15"/>
  <c r="C66" i="15"/>
  <c r="C68" i="15"/>
  <c r="D64" i="15"/>
  <c r="D71" i="15"/>
  <c r="C76" i="15"/>
  <c r="C78" i="15"/>
  <c r="C80" i="15"/>
  <c r="D76" i="15"/>
  <c r="C88" i="15"/>
  <c r="C90" i="15"/>
  <c r="C92" i="15"/>
  <c r="D88" i="15"/>
  <c r="D100" i="15"/>
  <c r="C107" i="15"/>
  <c r="C109" i="15"/>
  <c r="C111" i="15"/>
  <c r="D107" i="15"/>
  <c r="D112" i="15"/>
  <c r="C119" i="15"/>
  <c r="C121" i="15"/>
  <c r="C123" i="15"/>
  <c r="D119" i="15"/>
  <c r="D124" i="15"/>
  <c r="C131" i="15"/>
  <c r="C133" i="15"/>
  <c r="C135" i="15"/>
  <c r="D131" i="15"/>
  <c r="D136" i="15"/>
  <c r="D143" i="15"/>
  <c r="C148" i="15"/>
  <c r="C150" i="15"/>
  <c r="D148" i="15"/>
  <c r="D155" i="15"/>
  <c r="C160" i="15"/>
  <c r="C162" i="15"/>
  <c r="C164" i="15"/>
  <c r="D160" i="15"/>
  <c r="C168" i="15"/>
  <c r="C170" i="15"/>
  <c r="C172" i="15"/>
  <c r="D168" i="15"/>
  <c r="D173" i="15"/>
  <c r="D9" i="16"/>
  <c r="C14" i="16"/>
  <c r="C16" i="16"/>
  <c r="C18" i="16"/>
  <c r="D14" i="16"/>
  <c r="D23" i="16"/>
  <c r="C28" i="16"/>
  <c r="C30" i="16"/>
  <c r="C32" i="16"/>
  <c r="D28" i="16"/>
  <c r="D35" i="16"/>
  <c r="C40" i="16"/>
  <c r="C42" i="16"/>
  <c r="C44" i="16"/>
  <c r="D40" i="16"/>
  <c r="C52" i="16"/>
  <c r="C54" i="16"/>
  <c r="C56" i="16"/>
  <c r="D52" i="16"/>
  <c r="D59" i="16"/>
  <c r="C64" i="16"/>
  <c r="C66" i="16"/>
  <c r="C68" i="16"/>
  <c r="D64" i="16"/>
  <c r="D71" i="16"/>
  <c r="C76" i="16"/>
  <c r="C78" i="16"/>
  <c r="C80" i="16"/>
  <c r="D76" i="16"/>
  <c r="C83" i="16"/>
  <c r="C85" i="16"/>
  <c r="C87" i="16"/>
  <c r="D83" i="16"/>
  <c r="D88" i="16"/>
  <c r="D95" i="16"/>
  <c r="C100" i="16"/>
  <c r="C102" i="16"/>
  <c r="C104" i="16"/>
  <c r="D100" i="16"/>
  <c r="C107" i="16"/>
  <c r="C109" i="16"/>
  <c r="C111" i="16"/>
  <c r="D107" i="16"/>
  <c r="D112" i="16"/>
  <c r="C119" i="16"/>
  <c r="C121" i="16"/>
  <c r="C123" i="16"/>
  <c r="D119" i="16"/>
  <c r="D124" i="16"/>
  <c r="D131" i="16"/>
  <c r="C136" i="16"/>
  <c r="C138" i="16"/>
  <c r="C140" i="16"/>
  <c r="D136" i="16"/>
  <c r="D143" i="16"/>
  <c r="C148" i="16"/>
  <c r="C150" i="16"/>
  <c r="C152" i="16"/>
  <c r="D148" i="16"/>
  <c r="C155" i="16"/>
  <c r="C157" i="16"/>
  <c r="C159" i="16"/>
  <c r="D155" i="16"/>
  <c r="D160" i="16"/>
  <c r="D167" i="16"/>
  <c r="C172" i="16"/>
  <c r="C174" i="16"/>
  <c r="C176" i="16"/>
  <c r="D172" i="16"/>
  <c r="D179" i="16"/>
  <c r="C184" i="16"/>
  <c r="C186" i="16"/>
  <c r="C188" i="16"/>
  <c r="D184" i="16"/>
  <c r="D192" i="16"/>
  <c r="C197" i="16"/>
  <c r="C199" i="16"/>
  <c r="C201" i="16"/>
  <c r="D197" i="16"/>
  <c r="D9" i="17"/>
  <c r="C14" i="17"/>
  <c r="C16" i="17"/>
  <c r="C18" i="17"/>
  <c r="D14" i="17"/>
  <c r="C23" i="17"/>
  <c r="C25" i="17"/>
  <c r="C27" i="17"/>
  <c r="D23" i="17"/>
  <c r="D35" i="17"/>
  <c r="C40" i="17"/>
  <c r="C42" i="17"/>
  <c r="C44" i="17"/>
  <c r="D40" i="17"/>
  <c r="D47" i="17"/>
  <c r="C52" i="17"/>
  <c r="C54" i="17"/>
  <c r="C56" i="17"/>
  <c r="D52" i="17"/>
  <c r="D59" i="17"/>
  <c r="C64" i="17"/>
  <c r="C66" i="17"/>
  <c r="C68" i="17"/>
  <c r="D64" i="17"/>
  <c r="C71" i="17"/>
  <c r="D71" i="17"/>
  <c r="D76" i="17"/>
  <c r="C85" i="17"/>
  <c r="C87" i="17"/>
  <c r="D88" i="17"/>
  <c r="C95" i="17"/>
  <c r="C97" i="17"/>
  <c r="C99" i="17"/>
  <c r="D95" i="17"/>
  <c r="D100" i="17"/>
  <c r="C107" i="17"/>
  <c r="C109" i="17"/>
  <c r="C111" i="17"/>
  <c r="D107" i="17"/>
  <c r="D112" i="17"/>
  <c r="C119" i="17"/>
  <c r="C121" i="17"/>
  <c r="C123" i="17"/>
  <c r="D119" i="17"/>
  <c r="D124" i="17"/>
  <c r="C131" i="17"/>
  <c r="C133" i="17"/>
  <c r="C135" i="17"/>
  <c r="D131" i="17"/>
  <c r="D136" i="17"/>
  <c r="D143" i="17"/>
  <c r="C150" i="17"/>
  <c r="C152" i="17"/>
  <c r="D155" i="17"/>
  <c r="C160" i="17"/>
  <c r="C162" i="17"/>
  <c r="C164" i="17"/>
  <c r="D160" i="17"/>
  <c r="D167" i="17"/>
  <c r="C172" i="17"/>
  <c r="C174" i="17"/>
  <c r="C176" i="17"/>
  <c r="D172" i="17"/>
  <c r="D179" i="17"/>
  <c r="C184" i="17"/>
  <c r="C186" i="17"/>
  <c r="C188" i="17"/>
  <c r="D184" i="17"/>
  <c r="C192" i="17"/>
  <c r="C194" i="17"/>
  <c r="C196" i="17"/>
  <c r="D192" i="17"/>
  <c r="D197" i="17"/>
  <c r="C9" i="18"/>
  <c r="C11" i="18"/>
  <c r="C13" i="18"/>
  <c r="D9" i="18"/>
  <c r="D14" i="18"/>
  <c r="C24" i="18"/>
  <c r="C26" i="18"/>
  <c r="D27" i="18"/>
  <c r="C34" i="18"/>
  <c r="C36" i="18"/>
  <c r="C38" i="18"/>
  <c r="D34" i="18"/>
  <c r="D39" i="18"/>
  <c r="D47" i="18"/>
  <c r="C52" i="18"/>
  <c r="C54" i="18"/>
  <c r="C56" i="18"/>
  <c r="D52" i="18"/>
  <c r="D59" i="18"/>
  <c r="C64" i="18"/>
  <c r="C66" i="18"/>
  <c r="C68" i="18"/>
  <c r="D64" i="18"/>
  <c r="C71" i="18"/>
  <c r="C73" i="18"/>
  <c r="C75" i="18"/>
  <c r="D71" i="18"/>
  <c r="C83" i="18"/>
  <c r="C85" i="18"/>
  <c r="C87" i="18"/>
  <c r="D83" i="18"/>
  <c r="D88" i="18"/>
  <c r="C95" i="18"/>
  <c r="C97" i="18"/>
  <c r="C99" i="18"/>
  <c r="D95" i="18"/>
  <c r="D100" i="18"/>
  <c r="D107" i="18"/>
  <c r="C112" i="18"/>
  <c r="C114" i="18"/>
  <c r="C116" i="18"/>
  <c r="D112" i="18"/>
  <c r="C119" i="18"/>
  <c r="C121" i="18"/>
  <c r="C123" i="18"/>
  <c r="D119" i="18"/>
  <c r="D124" i="18"/>
  <c r="C131" i="18"/>
  <c r="C133" i="18"/>
  <c r="C135" i="18"/>
  <c r="D131" i="18"/>
  <c r="C143" i="18"/>
  <c r="C145" i="18"/>
  <c r="C147" i="18"/>
  <c r="D143" i="18"/>
  <c r="D148" i="18"/>
  <c r="C155" i="18"/>
  <c r="C157" i="18"/>
  <c r="C159" i="18"/>
  <c r="D155" i="18"/>
  <c r="D160" i="18"/>
  <c r="D167" i="18"/>
  <c r="C172" i="18"/>
  <c r="C174" i="18"/>
  <c r="C176" i="18"/>
  <c r="D172" i="18"/>
  <c r="D179" i="18"/>
  <c r="C184" i="18"/>
  <c r="C186" i="18"/>
  <c r="C188" i="18"/>
  <c r="D184" i="18"/>
  <c r="C192" i="18"/>
  <c r="C194" i="18"/>
  <c r="C196" i="18"/>
  <c r="D192" i="18"/>
  <c r="D197" i="18"/>
  <c r="D9" i="1"/>
  <c r="C14" i="1"/>
  <c r="C16" i="1"/>
  <c r="C18" i="1"/>
  <c r="D14" i="1"/>
  <c r="C22" i="1"/>
  <c r="C24" i="1"/>
  <c r="C26" i="1"/>
  <c r="D22" i="1"/>
  <c r="D34" i="1"/>
  <c r="C39" i="1"/>
  <c r="C41" i="1"/>
  <c r="C43" i="1"/>
  <c r="D39" i="1"/>
  <c r="D46" i="1"/>
  <c r="C51" i="1"/>
  <c r="C53" i="1"/>
  <c r="C55" i="1"/>
  <c r="D51" i="1"/>
  <c r="C63" i="1"/>
  <c r="C65" i="1"/>
  <c r="C67" i="1"/>
  <c r="D63" i="1"/>
  <c r="C70" i="1"/>
  <c r="C72" i="1"/>
  <c r="C74" i="1"/>
  <c r="D70" i="1"/>
  <c r="D75" i="1"/>
  <c r="D82" i="1"/>
  <c r="C87" i="1"/>
  <c r="C89" i="1"/>
  <c r="C91" i="1"/>
  <c r="D87" i="1"/>
  <c r="D94" i="1"/>
  <c r="C99" i="1"/>
  <c r="C101" i="1"/>
  <c r="C103" i="1"/>
  <c r="D99" i="1"/>
  <c r="D106" i="1"/>
  <c r="C111" i="1"/>
  <c r="C113" i="1"/>
  <c r="C115" i="1"/>
  <c r="D111" i="1"/>
  <c r="D118" i="1"/>
  <c r="C123" i="1"/>
  <c r="C125" i="1"/>
  <c r="C127" i="1"/>
  <c r="D123" i="1"/>
  <c r="C130" i="1"/>
  <c r="C132" i="1"/>
  <c r="C134" i="1"/>
  <c r="D130" i="1"/>
  <c r="D135" i="1"/>
  <c r="D142" i="1"/>
  <c r="C147" i="1"/>
  <c r="C149" i="1"/>
  <c r="C151" i="1"/>
  <c r="D147" i="1"/>
  <c r="D154" i="1"/>
  <c r="C159" i="1"/>
  <c r="C161" i="1"/>
  <c r="C163" i="1"/>
  <c r="D159" i="1"/>
  <c r="D166" i="1"/>
  <c r="C171" i="1"/>
  <c r="C173" i="1"/>
  <c r="C175" i="1"/>
  <c r="D171" i="1"/>
  <c r="D178" i="1"/>
  <c r="C183" i="1"/>
  <c r="C185" i="1"/>
  <c r="C187" i="1"/>
  <c r="D183" i="1"/>
  <c r="C190" i="1"/>
  <c r="C194" i="1"/>
  <c r="D190" i="1"/>
  <c r="D195" i="1"/>
</calcChain>
</file>

<file path=xl/sharedStrings.xml><?xml version="1.0" encoding="utf-8"?>
<sst xmlns="http://schemas.openxmlformats.org/spreadsheetml/2006/main" count="3538" uniqueCount="831">
  <si>
    <t>NFL Scores and Live Odds</t>
  </si>
  <si>
    <t>NFL Odds</t>
  </si>
  <si>
    <t>Splits</t>
  </si>
  <si>
    <t>1H/2H/Q Lines</t>
  </si>
  <si>
    <t>Props</t>
  </si>
  <si>
    <t>Parlays</t>
  </si>
  <si>
    <t>Picks</t>
  </si>
  <si>
    <t>FINAL 1/3 2:30PM</t>
  </si>
  <si>
    <t>Line Movements</t>
  </si>
  <si>
    <t>Spread</t>
  </si>
  <si>
    <t>Total</t>
  </si>
  <si>
    <t>Moneyline</t>
  </si>
  <si>
    <t>Panthers8-9-0</t>
  </si>
  <si>
    <r>
      <t>o42.5</t>
    </r>
    <r>
      <rPr>
        <sz val="8"/>
        <color rgb="FF747887"/>
        <rFont val="Arial"/>
        <family val="2"/>
      </rPr>
      <t>-115</t>
    </r>
  </si>
  <si>
    <r>
      <t>u43.5</t>
    </r>
    <r>
      <rPr>
        <sz val="8"/>
        <color rgb="FF747887"/>
        <rFont val="Arial"/>
        <family val="2"/>
      </rPr>
      <t>-118</t>
    </r>
  </si>
  <si>
    <t>Buccaneers8-9-0</t>
  </si>
  <si>
    <r>
      <t>u42.5</t>
    </r>
    <r>
      <rPr>
        <sz val="8"/>
        <color rgb="FF747887"/>
        <rFont val="Arial"/>
        <family val="2"/>
      </rPr>
      <t>-105</t>
    </r>
  </si>
  <si>
    <r>
      <t>Game Details</t>
    </r>
    <r>
      <rPr>
        <sz val="9"/>
        <color rgb="FFFEFEFE"/>
        <rFont val="Arial"/>
        <family val="2"/>
      </rPr>
      <t>MatchupParlayIQ</t>
    </r>
  </si>
  <si>
    <t>Ben Johnson on facing the Packers again</t>
  </si>
  <si>
    <t>FINAL 1/3 6:00PM</t>
  </si>
  <si>
    <t>Seahawks14-3-0</t>
  </si>
  <si>
    <r>
      <t>o48.5</t>
    </r>
    <r>
      <rPr>
        <sz val="8"/>
        <color rgb="FF747887"/>
        <rFont val="Arial"/>
        <family val="2"/>
      </rPr>
      <t>-110</t>
    </r>
  </si>
  <si>
    <t>49ers12-5-0</t>
  </si>
  <si>
    <r>
      <t>u48.5</t>
    </r>
    <r>
      <rPr>
        <sz val="8"/>
        <color rgb="FF747887"/>
        <rFont val="Arial"/>
        <family val="2"/>
      </rPr>
      <t>-110</t>
    </r>
  </si>
  <si>
    <r>
      <t>o48.5</t>
    </r>
    <r>
      <rPr>
        <sz val="8"/>
        <color rgb="FF747887"/>
        <rFont val="Arial"/>
        <family val="2"/>
      </rPr>
      <t>-105</t>
    </r>
  </si>
  <si>
    <r>
      <t>u47.5</t>
    </r>
    <r>
      <rPr>
        <sz val="8"/>
        <color rgb="FF747887"/>
        <rFont val="Arial"/>
        <family val="2"/>
      </rPr>
      <t>-105</t>
    </r>
  </si>
  <si>
    <r>
      <t>+2.5</t>
    </r>
    <r>
      <rPr>
        <sz val="8"/>
        <color rgb="FF747887"/>
        <rFont val="Arial"/>
        <family val="2"/>
      </rPr>
      <t>even</t>
    </r>
  </si>
  <si>
    <t>FINAL 1/4 11:00AM</t>
  </si>
  <si>
    <t>Browns5-12-0</t>
  </si>
  <si>
    <r>
      <t>u47.5</t>
    </r>
    <r>
      <rPr>
        <sz val="8"/>
        <color rgb="FF747887"/>
        <rFont val="Arial"/>
        <family val="2"/>
      </rPr>
      <t>-118</t>
    </r>
  </si>
  <si>
    <r>
      <t>o46.5</t>
    </r>
    <r>
      <rPr>
        <sz val="8"/>
        <color rgb="FF747887"/>
        <rFont val="Arial"/>
        <family val="2"/>
      </rPr>
      <t>-115</t>
    </r>
  </si>
  <si>
    <r>
      <t>u46.5</t>
    </r>
    <r>
      <rPr>
        <sz val="8"/>
        <color rgb="FF747887"/>
        <rFont val="Arial"/>
        <family val="2"/>
      </rPr>
      <t>-112</t>
    </r>
  </si>
  <si>
    <r>
      <t>o47.5</t>
    </r>
    <r>
      <rPr>
        <sz val="8"/>
        <color rgb="FF747887"/>
        <rFont val="Arial"/>
        <family val="2"/>
      </rPr>
      <t>-102</t>
    </r>
  </si>
  <si>
    <t>Bengals6-11-0</t>
  </si>
  <si>
    <t>Colts8-9-0</t>
  </si>
  <si>
    <r>
      <t>o37.5</t>
    </r>
    <r>
      <rPr>
        <sz val="8"/>
        <color rgb="FF747887"/>
        <rFont val="Arial"/>
        <family val="2"/>
      </rPr>
      <t>-112</t>
    </r>
  </si>
  <si>
    <t>Texans12-5-0</t>
  </si>
  <si>
    <r>
      <t>u37.5</t>
    </r>
    <r>
      <rPr>
        <sz val="8"/>
        <color rgb="FF747887"/>
        <rFont val="Arial"/>
        <family val="2"/>
      </rPr>
      <t>-108</t>
    </r>
  </si>
  <si>
    <t>Saints6-11-0</t>
  </si>
  <si>
    <r>
      <t>o43.5</t>
    </r>
    <r>
      <rPr>
        <sz val="8"/>
        <color rgb="FF747887"/>
        <rFont val="Arial"/>
        <family val="2"/>
      </rPr>
      <t>-108</t>
    </r>
  </si>
  <si>
    <r>
      <t>o43.5</t>
    </r>
    <r>
      <rPr>
        <sz val="8"/>
        <color rgb="FF747887"/>
        <rFont val="Arial"/>
        <family val="2"/>
      </rPr>
      <t>-112</t>
    </r>
  </si>
  <si>
    <r>
      <t>+3.5</t>
    </r>
    <r>
      <rPr>
        <sz val="8"/>
        <color rgb="FF747887"/>
        <rFont val="Arial"/>
        <family val="2"/>
      </rPr>
      <t>even</t>
    </r>
  </si>
  <si>
    <r>
      <t>o43.5</t>
    </r>
    <r>
      <rPr>
        <sz val="8"/>
        <color rgb="FF747887"/>
        <rFont val="Arial"/>
        <family val="2"/>
      </rPr>
      <t>-115</t>
    </r>
  </si>
  <si>
    <t>Falcons8-9-0</t>
  </si>
  <si>
    <r>
      <t>u43.5</t>
    </r>
    <r>
      <rPr>
        <sz val="8"/>
        <color rgb="FF747887"/>
        <rFont val="Arial"/>
        <family val="2"/>
      </rPr>
      <t>-105</t>
    </r>
  </si>
  <si>
    <t>Cowboys7-9-1</t>
  </si>
  <si>
    <r>
      <t>o50.5</t>
    </r>
    <r>
      <rPr>
        <sz val="8"/>
        <color rgb="FF747887"/>
        <rFont val="Arial"/>
        <family val="2"/>
      </rPr>
      <t>-105</t>
    </r>
  </si>
  <si>
    <t>Giants4-13-0</t>
  </si>
  <si>
    <r>
      <t>u49.5</t>
    </r>
    <r>
      <rPr>
        <sz val="8"/>
        <color rgb="FF747887"/>
        <rFont val="Arial"/>
        <family val="2"/>
      </rPr>
      <t>-102</t>
    </r>
  </si>
  <si>
    <r>
      <t>u50.5</t>
    </r>
    <r>
      <rPr>
        <sz val="8"/>
        <color rgb="FF747887"/>
        <rFont val="Arial"/>
        <family val="2"/>
      </rPr>
      <t>-115</t>
    </r>
  </si>
  <si>
    <t>Titans3-14-0</t>
  </si>
  <si>
    <r>
      <t>o46.5</t>
    </r>
    <r>
      <rPr>
        <sz val="8"/>
        <color rgb="FF747887"/>
        <rFont val="Arial"/>
        <family val="2"/>
      </rPr>
      <t>-110</t>
    </r>
  </si>
  <si>
    <t>Jaguars13-4-0</t>
  </si>
  <si>
    <r>
      <t>u46.5</t>
    </r>
    <r>
      <rPr>
        <sz val="8"/>
        <color rgb="FF747887"/>
        <rFont val="Arial"/>
        <family val="2"/>
      </rPr>
      <t>-110</t>
    </r>
  </si>
  <si>
    <t>Packers9-7-1</t>
  </si>
  <si>
    <r>
      <t>u37.5</t>
    </r>
    <r>
      <rPr>
        <sz val="8"/>
        <color rgb="FF747887"/>
        <rFont val="Arial"/>
        <family val="2"/>
      </rPr>
      <t>-118</t>
    </r>
  </si>
  <si>
    <r>
      <t>o37.5</t>
    </r>
    <r>
      <rPr>
        <sz val="8"/>
        <color rgb="FF747887"/>
        <rFont val="Arial"/>
        <family val="2"/>
      </rPr>
      <t>-102</t>
    </r>
  </si>
  <si>
    <t>Vikings9-8-0</t>
  </si>
  <si>
    <t>FINAL 1/4 2:25PM</t>
  </si>
  <si>
    <t>Jets3-14-0</t>
  </si>
  <si>
    <r>
      <t>u39.5</t>
    </r>
    <r>
      <rPr>
        <sz val="8"/>
        <color rgb="FF747887"/>
        <rFont val="Arial"/>
        <family val="2"/>
      </rPr>
      <t>-115</t>
    </r>
  </si>
  <si>
    <r>
      <t>o39.5</t>
    </r>
    <r>
      <rPr>
        <sz val="8"/>
        <color rgb="FF747887"/>
        <rFont val="Arial"/>
        <family val="2"/>
      </rPr>
      <t>-105</t>
    </r>
  </si>
  <si>
    <t>Bills12-5-0</t>
  </si>
  <si>
    <t>Cardinals3-14-0</t>
  </si>
  <si>
    <r>
      <t>o49.5</t>
    </r>
    <r>
      <rPr>
        <sz val="8"/>
        <color rgb="FF747887"/>
        <rFont val="Arial"/>
        <family val="2"/>
      </rPr>
      <t>-112</t>
    </r>
  </si>
  <si>
    <r>
      <t>o48.5</t>
    </r>
    <r>
      <rPr>
        <sz val="8"/>
        <color rgb="FF747887"/>
        <rFont val="Arial"/>
        <family val="2"/>
      </rPr>
      <t>-112</t>
    </r>
  </si>
  <si>
    <t>Rams12-5-0</t>
  </si>
  <si>
    <r>
      <t>u49.5</t>
    </r>
    <r>
      <rPr>
        <sz val="8"/>
        <color rgb="FF747887"/>
        <rFont val="Arial"/>
        <family val="2"/>
      </rPr>
      <t>-108</t>
    </r>
  </si>
  <si>
    <t>Chiefs6-11-0</t>
  </si>
  <si>
    <r>
      <t>o35.5</t>
    </r>
    <r>
      <rPr>
        <sz val="8"/>
        <color rgb="FF747887"/>
        <rFont val="Arial"/>
        <family val="2"/>
      </rPr>
      <t>-115</t>
    </r>
  </si>
  <si>
    <t>Raiders3-14-0</t>
  </si>
  <si>
    <r>
      <t>u35.5</t>
    </r>
    <r>
      <rPr>
        <sz val="8"/>
        <color rgb="FF747887"/>
        <rFont val="Arial"/>
        <family val="2"/>
      </rPr>
      <t>-105</t>
    </r>
  </si>
  <si>
    <r>
      <t>o36.5</t>
    </r>
    <r>
      <rPr>
        <sz val="8"/>
        <color rgb="FF747887"/>
        <rFont val="Arial"/>
        <family val="2"/>
      </rPr>
      <t>-102</t>
    </r>
  </si>
  <si>
    <t>Chargers11-6-0</t>
  </si>
  <si>
    <r>
      <t>o37.5</t>
    </r>
    <r>
      <rPr>
        <sz val="8"/>
        <color rgb="FF747887"/>
        <rFont val="Arial"/>
        <family val="2"/>
      </rPr>
      <t>-115</t>
    </r>
  </si>
  <si>
    <r>
      <t>u38.5</t>
    </r>
    <r>
      <rPr>
        <sz val="8"/>
        <color rgb="FF747887"/>
        <rFont val="Arial"/>
        <family val="2"/>
      </rPr>
      <t>-115</t>
    </r>
  </si>
  <si>
    <t>Broncos14-3-0</t>
  </si>
  <si>
    <r>
      <t>u37.5</t>
    </r>
    <r>
      <rPr>
        <sz val="8"/>
        <color rgb="FF747887"/>
        <rFont val="Arial"/>
        <family val="2"/>
      </rPr>
      <t>-105</t>
    </r>
  </si>
  <si>
    <t>Commanders5-12-0</t>
  </si>
  <si>
    <r>
      <t>o38.5</t>
    </r>
    <r>
      <rPr>
        <sz val="8"/>
        <color rgb="FF747887"/>
        <rFont val="Arial"/>
        <family val="2"/>
      </rPr>
      <t>-112</t>
    </r>
  </si>
  <si>
    <t>Eagles11-6-0</t>
  </si>
  <si>
    <r>
      <t>u38.5</t>
    </r>
    <r>
      <rPr>
        <sz val="8"/>
        <color rgb="FF747887"/>
        <rFont val="Arial"/>
        <family val="2"/>
      </rPr>
      <t>-108</t>
    </r>
  </si>
  <si>
    <t>Lions9-8-0</t>
  </si>
  <si>
    <r>
      <t>o51.5</t>
    </r>
    <r>
      <rPr>
        <sz val="8"/>
        <color rgb="FF747887"/>
        <rFont val="Arial"/>
        <family val="2"/>
      </rPr>
      <t>-110</t>
    </r>
  </si>
  <si>
    <t>Bears11-6-0</t>
  </si>
  <si>
    <r>
      <t>u51.5</t>
    </r>
    <r>
      <rPr>
        <sz val="8"/>
        <color rgb="FF747887"/>
        <rFont val="Arial"/>
        <family val="2"/>
      </rPr>
      <t>-110</t>
    </r>
  </si>
  <si>
    <t>Dolphins7-10-0</t>
  </si>
  <si>
    <r>
      <t>u44.5</t>
    </r>
    <r>
      <rPr>
        <sz val="8"/>
        <color rgb="FF747887"/>
        <rFont val="Arial"/>
        <family val="2"/>
      </rPr>
      <t>-118</t>
    </r>
  </si>
  <si>
    <r>
      <t>o43.5</t>
    </r>
    <r>
      <rPr>
        <sz val="8"/>
        <color rgb="FF747887"/>
        <rFont val="Arial"/>
        <family val="2"/>
      </rPr>
      <t>-118</t>
    </r>
  </si>
  <si>
    <r>
      <t>o44.5</t>
    </r>
    <r>
      <rPr>
        <sz val="8"/>
        <color rgb="FF747887"/>
        <rFont val="Arial"/>
        <family val="2"/>
      </rPr>
      <t>-102</t>
    </r>
  </si>
  <si>
    <t>Patriots14-3-0</t>
  </si>
  <si>
    <t>FINAL 1/4 6:20PM</t>
  </si>
  <si>
    <t>Ravens8-9-0</t>
  </si>
  <si>
    <r>
      <t>-4.5</t>
    </r>
    <r>
      <rPr>
        <sz val="8"/>
        <color rgb="FF747887"/>
        <rFont val="Arial"/>
        <family val="2"/>
      </rPr>
      <t>even</t>
    </r>
  </si>
  <si>
    <r>
      <t>o41.5</t>
    </r>
    <r>
      <rPr>
        <sz val="8"/>
        <color rgb="FF747887"/>
        <rFont val="Arial"/>
        <family val="2"/>
      </rPr>
      <t>-108</t>
    </r>
  </si>
  <si>
    <t>Steelers10-7-0</t>
  </si>
  <si>
    <r>
      <t>u41.5</t>
    </r>
    <r>
      <rPr>
        <sz val="8"/>
        <color rgb="FF747887"/>
        <rFont val="Arial"/>
        <family val="2"/>
      </rPr>
      <t>-112</t>
    </r>
  </si>
  <si>
    <t>FINAL 12/25 11:00AM</t>
  </si>
  <si>
    <t>Cowboys7-8-1</t>
  </si>
  <si>
    <r>
      <t>o50.5</t>
    </r>
    <r>
      <rPr>
        <sz val="8"/>
        <color rgb="FF747887"/>
        <rFont val="Arial"/>
        <family val="2"/>
      </rPr>
      <t>-112</t>
    </r>
  </si>
  <si>
    <t>Commanders4-12-0</t>
  </si>
  <si>
    <r>
      <t>u50.5</t>
    </r>
    <r>
      <rPr>
        <sz val="8"/>
        <color rgb="FF747887"/>
        <rFont val="Arial"/>
        <family val="2"/>
      </rPr>
      <t>-108</t>
    </r>
  </si>
  <si>
    <t>DIANNA RUSSINI: NFL TEAMS ARE NERVOUS ABOUT FIRST-TIME COACH CANDIDATES</t>
  </si>
  <si>
    <t>FINAL 12/25 2:30PM</t>
  </si>
  <si>
    <t>Lions8-8-0</t>
  </si>
  <si>
    <r>
      <t>-7.5</t>
    </r>
    <r>
      <rPr>
        <sz val="8"/>
        <color rgb="FF747887"/>
        <rFont val="Arial"/>
        <family val="2"/>
      </rPr>
      <t>even</t>
    </r>
  </si>
  <si>
    <r>
      <t>o45.5</t>
    </r>
    <r>
      <rPr>
        <sz val="8"/>
        <color rgb="FF747887"/>
        <rFont val="Arial"/>
        <family val="2"/>
      </rPr>
      <t>-105</t>
    </r>
  </si>
  <si>
    <t>Vikings8-8-0</t>
  </si>
  <si>
    <r>
      <t>u44.5</t>
    </r>
    <r>
      <rPr>
        <sz val="8"/>
        <color rgb="FF747887"/>
        <rFont val="Arial"/>
        <family val="2"/>
      </rPr>
      <t>-110</t>
    </r>
  </si>
  <si>
    <r>
      <t>u45.5</t>
    </r>
    <r>
      <rPr>
        <sz val="8"/>
        <color rgb="FF747887"/>
        <rFont val="Arial"/>
        <family val="2"/>
      </rPr>
      <t>-115</t>
    </r>
  </si>
  <si>
    <t>FINAL 12/25 6:15PM</t>
  </si>
  <si>
    <t>Broncos13-3-0</t>
  </si>
  <si>
    <r>
      <t>o37.5</t>
    </r>
    <r>
      <rPr>
        <sz val="8"/>
        <color rgb="FF747887"/>
        <rFont val="Arial"/>
        <family val="2"/>
      </rPr>
      <t>-120</t>
    </r>
  </si>
  <si>
    <t>Chiefs6-10-0</t>
  </si>
  <si>
    <r>
      <t>u37.5</t>
    </r>
    <r>
      <rPr>
        <sz val="8"/>
        <color rgb="FF747887"/>
        <rFont val="Arial"/>
        <family val="2"/>
      </rPr>
      <t>even</t>
    </r>
  </si>
  <si>
    <r>
      <t>o38.5</t>
    </r>
    <r>
      <rPr>
        <sz val="8"/>
        <color rgb="FF747887"/>
        <rFont val="Arial"/>
        <family val="2"/>
      </rPr>
      <t>-105</t>
    </r>
  </si>
  <si>
    <t>Thursday Night Football Amazon Prime Video</t>
  </si>
  <si>
    <t>FINAL 12/27 2:30PM</t>
  </si>
  <si>
    <t>Texans11-5-0</t>
  </si>
  <si>
    <r>
      <t>o40.5</t>
    </r>
    <r>
      <rPr>
        <sz val="8"/>
        <color rgb="FF747887"/>
        <rFont val="Arial"/>
        <family val="2"/>
      </rPr>
      <t>-115</t>
    </r>
  </si>
  <si>
    <r>
      <t>u40.5</t>
    </r>
    <r>
      <rPr>
        <sz val="8"/>
        <color rgb="FF747887"/>
        <rFont val="Arial"/>
        <family val="2"/>
      </rPr>
      <t>-112</t>
    </r>
  </si>
  <si>
    <t>Chargers11-5-0</t>
  </si>
  <si>
    <r>
      <t>u40.5</t>
    </r>
    <r>
      <rPr>
        <sz val="8"/>
        <color rgb="FF747887"/>
        <rFont val="Arial"/>
        <family val="2"/>
      </rPr>
      <t>-105</t>
    </r>
  </si>
  <si>
    <t>FINAL 12/27 6:00PM</t>
  </si>
  <si>
    <t>Ravens8-8-0</t>
  </si>
  <si>
    <r>
      <t>u37.5</t>
    </r>
    <r>
      <rPr>
        <sz val="8"/>
        <color rgb="FF747887"/>
        <rFont val="Arial"/>
        <family val="2"/>
      </rPr>
      <t>-112</t>
    </r>
  </si>
  <si>
    <r>
      <t>o37.5</t>
    </r>
    <r>
      <rPr>
        <sz val="8"/>
        <color rgb="FF747887"/>
        <rFont val="Arial"/>
        <family val="2"/>
      </rPr>
      <t>-108</t>
    </r>
  </si>
  <si>
    <t>Packers9-6-1</t>
  </si>
  <si>
    <t>FINAL 12/28 11:00AM</t>
  </si>
  <si>
    <t>Patriots13-3-0</t>
  </si>
  <si>
    <r>
      <t>o42.5</t>
    </r>
    <r>
      <rPr>
        <sz val="8"/>
        <color rgb="FF747887"/>
        <rFont val="Arial"/>
        <family val="2"/>
      </rPr>
      <t>-108</t>
    </r>
  </si>
  <si>
    <t>Jets3-13-0</t>
  </si>
  <si>
    <r>
      <t>+12.5</t>
    </r>
    <r>
      <rPr>
        <sz val="8"/>
        <color rgb="FF747887"/>
        <rFont val="Arial"/>
        <family val="2"/>
      </rPr>
      <t>even</t>
    </r>
  </si>
  <si>
    <r>
      <t>u42.5</t>
    </r>
    <r>
      <rPr>
        <sz val="8"/>
        <color rgb="FF747887"/>
        <rFont val="Arial"/>
        <family val="2"/>
      </rPr>
      <t>-112</t>
    </r>
  </si>
  <si>
    <t>Steelers9-7-0</t>
  </si>
  <si>
    <r>
      <t>o34.5</t>
    </r>
    <r>
      <rPr>
        <sz val="8"/>
        <color rgb="FF747887"/>
        <rFont val="Arial"/>
        <family val="2"/>
      </rPr>
      <t>-110</t>
    </r>
  </si>
  <si>
    <t>Browns4-12-0</t>
  </si>
  <si>
    <r>
      <t>u34.5</t>
    </r>
    <r>
      <rPr>
        <sz val="8"/>
        <color rgb="FF747887"/>
        <rFont val="Arial"/>
        <family val="2"/>
      </rPr>
      <t>-110</t>
    </r>
  </si>
  <si>
    <r>
      <t>u34.5</t>
    </r>
    <r>
      <rPr>
        <sz val="8"/>
        <color rgb="FF747887"/>
        <rFont val="Arial"/>
        <family val="2"/>
      </rPr>
      <t>-105</t>
    </r>
  </si>
  <si>
    <r>
      <t>o35.5</t>
    </r>
    <r>
      <rPr>
        <sz val="8"/>
        <color rgb="FF747887"/>
        <rFont val="Arial"/>
        <family val="2"/>
      </rPr>
      <t>-108</t>
    </r>
  </si>
  <si>
    <t>Jaguars12-4-0</t>
  </si>
  <si>
    <t>Colts8-8-0</t>
  </si>
  <si>
    <r>
      <t>u48.5</t>
    </r>
    <r>
      <rPr>
        <sz val="8"/>
        <color rgb="FF747887"/>
        <rFont val="Arial"/>
        <family val="2"/>
      </rPr>
      <t>-108</t>
    </r>
  </si>
  <si>
    <t>Cardinals3-13-0</t>
  </si>
  <si>
    <r>
      <t>o52.5</t>
    </r>
    <r>
      <rPr>
        <sz val="8"/>
        <color rgb="FF747887"/>
        <rFont val="Arial"/>
        <family val="2"/>
      </rPr>
      <t>-115</t>
    </r>
  </si>
  <si>
    <r>
      <t>o52.5</t>
    </r>
    <r>
      <rPr>
        <sz val="8"/>
        <color rgb="FF747887"/>
        <rFont val="Arial"/>
        <family val="2"/>
      </rPr>
      <t>-110</t>
    </r>
  </si>
  <si>
    <r>
      <t>o53.5</t>
    </r>
    <r>
      <rPr>
        <sz val="8"/>
        <color rgb="FF747887"/>
        <rFont val="Arial"/>
        <family val="2"/>
      </rPr>
      <t>-112</t>
    </r>
  </si>
  <si>
    <t>Bengals6-10-0</t>
  </si>
  <si>
    <r>
      <t>u53.5</t>
    </r>
    <r>
      <rPr>
        <sz val="8"/>
        <color rgb="FF747887"/>
        <rFont val="Arial"/>
        <family val="2"/>
      </rPr>
      <t>-108</t>
    </r>
  </si>
  <si>
    <t>Saints6-10-0</t>
  </si>
  <si>
    <r>
      <t>o38.5</t>
    </r>
    <r>
      <rPr>
        <sz val="8"/>
        <color rgb="FF747887"/>
        <rFont val="Arial"/>
        <family val="2"/>
      </rPr>
      <t>-115</t>
    </r>
  </si>
  <si>
    <t>Titans3-13-0</t>
  </si>
  <si>
    <r>
      <t>u38.5</t>
    </r>
    <r>
      <rPr>
        <sz val="8"/>
        <color rgb="FF747887"/>
        <rFont val="Arial"/>
        <family val="2"/>
      </rPr>
      <t>-105</t>
    </r>
  </si>
  <si>
    <t>Seahawks13-3-0</t>
  </si>
  <si>
    <t>Panthers8-8-0</t>
  </si>
  <si>
    <r>
      <t>u42.5</t>
    </r>
    <r>
      <rPr>
        <sz val="8"/>
        <color rgb="FF747887"/>
        <rFont val="Arial"/>
        <family val="2"/>
      </rPr>
      <t>-110</t>
    </r>
  </si>
  <si>
    <r>
      <t>+6.5</t>
    </r>
    <r>
      <rPr>
        <sz val="8"/>
        <color rgb="FF747887"/>
        <rFont val="Arial"/>
        <family val="2"/>
      </rPr>
      <t>even</t>
    </r>
  </si>
  <si>
    <t>Buccaneers7-9-0</t>
  </si>
  <si>
    <t>Dolphins7-9-0</t>
  </si>
  <si>
    <r>
      <t>o44.5</t>
    </r>
    <r>
      <rPr>
        <sz val="8"/>
        <color rgb="FF747887"/>
        <rFont val="Arial"/>
        <family val="2"/>
      </rPr>
      <t>-108</t>
    </r>
  </si>
  <si>
    <t>FINAL 12/28 2:05PM</t>
  </si>
  <si>
    <t>Giants3-13-0</t>
  </si>
  <si>
    <r>
      <t>o40.5</t>
    </r>
    <r>
      <rPr>
        <sz val="8"/>
        <color rgb="FF747887"/>
        <rFont val="Arial"/>
        <family val="2"/>
      </rPr>
      <t>-108</t>
    </r>
  </si>
  <si>
    <t>Raiders2-14-0</t>
  </si>
  <si>
    <r>
      <t>u40.5</t>
    </r>
    <r>
      <rPr>
        <sz val="8"/>
        <color rgb="FF747887"/>
        <rFont val="Arial"/>
        <family val="2"/>
      </rPr>
      <t>-108</t>
    </r>
  </si>
  <si>
    <t>FINAL 12/28 2:25PM</t>
  </si>
  <si>
    <t>Eagles11-5-0</t>
  </si>
  <si>
    <r>
      <t>o44.5</t>
    </r>
    <r>
      <rPr>
        <sz val="8"/>
        <color rgb="FF747887"/>
        <rFont val="Arial"/>
        <family val="2"/>
      </rPr>
      <t>-115</t>
    </r>
  </si>
  <si>
    <t>Bills11-5-0</t>
  </si>
  <si>
    <t>FINAL 12/28 6:20PM</t>
  </si>
  <si>
    <t>Bears11-5-0</t>
  </si>
  <si>
    <r>
      <t>u51.5</t>
    </r>
    <r>
      <rPr>
        <sz val="8"/>
        <color rgb="FF747887"/>
        <rFont val="Arial"/>
        <family val="2"/>
      </rPr>
      <t>-112</t>
    </r>
  </si>
  <si>
    <r>
      <t>o51.5</t>
    </r>
    <r>
      <rPr>
        <sz val="8"/>
        <color rgb="FF747887"/>
        <rFont val="Arial"/>
        <family val="2"/>
      </rPr>
      <t>-108</t>
    </r>
  </si>
  <si>
    <t>49ers12-4-0</t>
  </si>
  <si>
    <t>Sunday Night Football NBC/Peacock</t>
  </si>
  <si>
    <t>FINAL 12/29 6:15PM</t>
  </si>
  <si>
    <t>Rams11-5-0</t>
  </si>
  <si>
    <r>
      <t>o48.5</t>
    </r>
    <r>
      <rPr>
        <sz val="8"/>
        <color rgb="FF747887"/>
        <rFont val="Arial"/>
        <family val="2"/>
      </rPr>
      <t>-115</t>
    </r>
  </si>
  <si>
    <t>Falcons7-9-0</t>
  </si>
  <si>
    <r>
      <t>u48.5</t>
    </r>
    <r>
      <rPr>
        <sz val="8"/>
        <color rgb="FF747887"/>
        <rFont val="Arial"/>
        <family val="2"/>
      </rPr>
      <t>-105</t>
    </r>
  </si>
  <si>
    <t>FINAL 12/18 6:15PM</t>
  </si>
  <si>
    <t>Rams11-4-0</t>
  </si>
  <si>
    <t>Seahawks12-3-0</t>
  </si>
  <si>
    <t>FINAL 12/20 3:00PM</t>
  </si>
  <si>
    <t>Eagles10-5-0</t>
  </si>
  <si>
    <r>
      <t>o43.5</t>
    </r>
    <r>
      <rPr>
        <sz val="8"/>
        <color rgb="FF747887"/>
        <rFont val="Arial"/>
        <family val="2"/>
      </rPr>
      <t>-110</t>
    </r>
  </si>
  <si>
    <t>Commanders4-11-0</t>
  </si>
  <si>
    <r>
      <t>u43.5</t>
    </r>
    <r>
      <rPr>
        <sz val="8"/>
        <color rgb="FF747887"/>
        <rFont val="Arial"/>
        <family val="2"/>
      </rPr>
      <t>-110</t>
    </r>
  </si>
  <si>
    <r>
      <t>o44.5</t>
    </r>
    <r>
      <rPr>
        <sz val="8"/>
        <color rgb="FF747887"/>
        <rFont val="Arial"/>
        <family val="2"/>
      </rPr>
      <t>-105</t>
    </r>
  </si>
  <si>
    <r>
      <t>+7</t>
    </r>
    <r>
      <rPr>
        <sz val="8"/>
        <color rgb="FF747887"/>
        <rFont val="Arial"/>
        <family val="2"/>
      </rPr>
      <t>even</t>
    </r>
  </si>
  <si>
    <t>FINAL 12/20 6:20PM</t>
  </si>
  <si>
    <t>Packers9-5-1</t>
  </si>
  <si>
    <r>
      <t>o44.5</t>
    </r>
    <r>
      <rPr>
        <sz val="8"/>
        <color rgb="FF747887"/>
        <rFont val="Arial"/>
        <family val="2"/>
      </rPr>
      <t>-110</t>
    </r>
  </si>
  <si>
    <t>even</t>
  </si>
  <si>
    <t>Bears11-4-0</t>
  </si>
  <si>
    <r>
      <t>u44.5</t>
    </r>
    <r>
      <rPr>
        <sz val="8"/>
        <color rgb="FF747887"/>
        <rFont val="Arial"/>
        <family val="2"/>
      </rPr>
      <t>-115</t>
    </r>
  </si>
  <si>
    <t>FINAL 12/21 11:00AM</t>
  </si>
  <si>
    <t>Jets3-12-0</t>
  </si>
  <si>
    <r>
      <t>o39.5</t>
    </r>
    <r>
      <rPr>
        <sz val="8"/>
        <color rgb="FF747887"/>
        <rFont val="Arial"/>
        <family val="2"/>
      </rPr>
      <t>-115</t>
    </r>
  </si>
  <si>
    <t>Saints5-10-0</t>
  </si>
  <si>
    <r>
      <t>u39.5</t>
    </r>
    <r>
      <rPr>
        <sz val="8"/>
        <color rgb="FF747887"/>
        <rFont val="Arial"/>
        <family val="2"/>
      </rPr>
      <t>-105</t>
    </r>
  </si>
  <si>
    <t>Chargers11-4-0</t>
  </si>
  <si>
    <r>
      <t>o50.5</t>
    </r>
    <r>
      <rPr>
        <sz val="8"/>
        <color rgb="FF747887"/>
        <rFont val="Arial"/>
        <family val="2"/>
      </rPr>
      <t>-118</t>
    </r>
  </si>
  <si>
    <t>Cowboys6-8-1</t>
  </si>
  <si>
    <r>
      <t>u50.5</t>
    </r>
    <r>
      <rPr>
        <sz val="8"/>
        <color rgb="FF747887"/>
        <rFont val="Arial"/>
        <family val="2"/>
      </rPr>
      <t>-102</t>
    </r>
  </si>
  <si>
    <t>Buccaneers7-8-0</t>
  </si>
  <si>
    <r>
      <t>-3</t>
    </r>
    <r>
      <rPr>
        <sz val="8"/>
        <color rgb="FF747887"/>
        <rFont val="Arial"/>
        <family val="2"/>
      </rPr>
      <t>even</t>
    </r>
  </si>
  <si>
    <r>
      <t>o44.5</t>
    </r>
    <r>
      <rPr>
        <sz val="8"/>
        <color rgb="FF747887"/>
        <rFont val="Arial"/>
        <family val="2"/>
      </rPr>
      <t>-112</t>
    </r>
  </si>
  <si>
    <t>Panthers8-7-0</t>
  </si>
  <si>
    <r>
      <t>u44.5</t>
    </r>
    <r>
      <rPr>
        <sz val="8"/>
        <color rgb="FF747887"/>
        <rFont val="Arial"/>
        <family val="2"/>
      </rPr>
      <t>-108</t>
    </r>
  </si>
  <si>
    <t>Chiefs6-9-0</t>
  </si>
  <si>
    <r>
      <t>-3.5</t>
    </r>
    <r>
      <rPr>
        <sz val="8"/>
        <color rgb="FF747887"/>
        <rFont val="Arial"/>
        <family val="2"/>
      </rPr>
      <t>even</t>
    </r>
  </si>
  <si>
    <r>
      <t>o37.5</t>
    </r>
    <r>
      <rPr>
        <sz val="8"/>
        <color rgb="FF747887"/>
        <rFont val="Arial"/>
        <family val="2"/>
      </rPr>
      <t>-110</t>
    </r>
  </si>
  <si>
    <t>Titans3-12-0</t>
  </si>
  <si>
    <r>
      <t>u37.5</t>
    </r>
    <r>
      <rPr>
        <sz val="8"/>
        <color rgb="FF747887"/>
        <rFont val="Arial"/>
        <family val="2"/>
      </rPr>
      <t>-110</t>
    </r>
  </si>
  <si>
    <t>Vikings7-8-0</t>
  </si>
  <si>
    <r>
      <t>o41.5</t>
    </r>
    <r>
      <rPr>
        <sz val="8"/>
        <color rgb="FF747887"/>
        <rFont val="Arial"/>
        <family val="2"/>
      </rPr>
      <t>-105</t>
    </r>
  </si>
  <si>
    <t>Giants2-13-0</t>
  </si>
  <si>
    <r>
      <t>u41.5</t>
    </r>
    <r>
      <rPr>
        <sz val="8"/>
        <color rgb="FF747887"/>
        <rFont val="Arial"/>
        <family val="2"/>
      </rPr>
      <t>-105</t>
    </r>
  </si>
  <si>
    <r>
      <t>u41.5</t>
    </r>
    <r>
      <rPr>
        <sz val="8"/>
        <color rgb="FF747887"/>
        <rFont val="Arial"/>
        <family val="2"/>
      </rPr>
      <t>-108</t>
    </r>
  </si>
  <si>
    <r>
      <t>u41.5</t>
    </r>
    <r>
      <rPr>
        <sz val="8"/>
        <color rgb="FF747887"/>
        <rFont val="Arial"/>
        <family val="2"/>
      </rPr>
      <t>-115</t>
    </r>
  </si>
  <si>
    <t>Bengals5-10-0</t>
  </si>
  <si>
    <t>Dolphins6-9-0</t>
  </si>
  <si>
    <t>Bills11-4-0</t>
  </si>
  <si>
    <t>Browns3-12-0</t>
  </si>
  <si>
    <r>
      <t>o41.5</t>
    </r>
    <r>
      <rPr>
        <sz val="8"/>
        <color rgb="FF747887"/>
        <rFont val="Arial"/>
        <family val="2"/>
      </rPr>
      <t>-102</t>
    </r>
  </si>
  <si>
    <t>FINAL 12/21 2:05PM</t>
  </si>
  <si>
    <t>Falcons6-9-0</t>
  </si>
  <si>
    <t>Cardinals3-12-0</t>
  </si>
  <si>
    <t>Jaguars11-4-0</t>
  </si>
  <si>
    <r>
      <t>o46.5</t>
    </r>
    <r>
      <rPr>
        <sz val="8"/>
        <color rgb="FF747887"/>
        <rFont val="Arial"/>
        <family val="2"/>
      </rPr>
      <t>-112</t>
    </r>
  </si>
  <si>
    <t>Broncos12-3-0</t>
  </si>
  <si>
    <r>
      <t>u46.5</t>
    </r>
    <r>
      <rPr>
        <sz val="8"/>
        <color rgb="FF747887"/>
        <rFont val="Arial"/>
        <family val="2"/>
      </rPr>
      <t>-108</t>
    </r>
  </si>
  <si>
    <t>FINAL 12/21 2:25PM</t>
  </si>
  <si>
    <t>Raiders2-13-0</t>
  </si>
  <si>
    <r>
      <t>o39.5</t>
    </r>
    <r>
      <rPr>
        <sz val="8"/>
        <color rgb="FF747887"/>
        <rFont val="Arial"/>
        <family val="2"/>
      </rPr>
      <t>-110</t>
    </r>
  </si>
  <si>
    <t>Texans10-5-0</t>
  </si>
  <si>
    <r>
      <t>u39.5</t>
    </r>
    <r>
      <rPr>
        <sz val="8"/>
        <color rgb="FF747887"/>
        <rFont val="Arial"/>
        <family val="2"/>
      </rPr>
      <t>-110</t>
    </r>
  </si>
  <si>
    <t>Steelers9-6-0</t>
  </si>
  <si>
    <r>
      <t>u52.5</t>
    </r>
    <r>
      <rPr>
        <sz val="8"/>
        <color rgb="FF747887"/>
        <rFont val="Arial"/>
        <family val="2"/>
      </rPr>
      <t>-115</t>
    </r>
  </si>
  <si>
    <t>Lions8-7-0</t>
  </si>
  <si>
    <r>
      <t>u52.5</t>
    </r>
    <r>
      <rPr>
        <sz val="8"/>
        <color rgb="FF747887"/>
        <rFont val="Arial"/>
        <family val="2"/>
      </rPr>
      <t>-110</t>
    </r>
  </si>
  <si>
    <t>FINAL 12/21 6:20PM</t>
  </si>
  <si>
    <t>Patriots12-3-0</t>
  </si>
  <si>
    <r>
      <t>o47.5</t>
    </r>
    <r>
      <rPr>
        <sz val="8"/>
        <color rgb="FF747887"/>
        <rFont val="Arial"/>
        <family val="2"/>
      </rPr>
      <t>-115</t>
    </r>
  </si>
  <si>
    <t>Ravens7-8-0</t>
  </si>
  <si>
    <t>FINAL 12/22 6:15PM</t>
  </si>
  <si>
    <t>49ers11-4-0</t>
  </si>
  <si>
    <r>
      <t>o46.5</t>
    </r>
    <r>
      <rPr>
        <sz val="8"/>
        <color rgb="FF747887"/>
        <rFont val="Arial"/>
        <family val="2"/>
      </rPr>
      <t>-102</t>
    </r>
  </si>
  <si>
    <t>Colts8-7-0</t>
  </si>
  <si>
    <r>
      <t>u45.5</t>
    </r>
    <r>
      <rPr>
        <sz val="8"/>
        <color rgb="FF747887"/>
        <rFont val="Arial"/>
        <family val="2"/>
      </rPr>
      <t>-105</t>
    </r>
  </si>
  <si>
    <r>
      <t>u46.5</t>
    </r>
    <r>
      <rPr>
        <sz val="8"/>
        <color rgb="FF747887"/>
        <rFont val="Arial"/>
        <family val="2"/>
      </rPr>
      <t>-118</t>
    </r>
  </si>
  <si>
    <t>FINAL 12/11 6:15PM</t>
  </si>
  <si>
    <t>Falcons5-9-0</t>
  </si>
  <si>
    <t>Buccaneers7-7-0</t>
  </si>
  <si>
    <t>FINAL 12/14 11:00AM</t>
  </si>
  <si>
    <t>Commanders4-10-0</t>
  </si>
  <si>
    <r>
      <t>o45.5</t>
    </r>
    <r>
      <rPr>
        <sz val="8"/>
        <color rgb="FF747887"/>
        <rFont val="Arial"/>
        <family val="2"/>
      </rPr>
      <t>-115</t>
    </r>
  </si>
  <si>
    <r>
      <t>o45.5</t>
    </r>
    <r>
      <rPr>
        <sz val="8"/>
        <color rgb="FF747887"/>
        <rFont val="Arial"/>
        <family val="2"/>
      </rPr>
      <t>-112</t>
    </r>
  </si>
  <si>
    <r>
      <t>u46.5</t>
    </r>
    <r>
      <rPr>
        <sz val="8"/>
        <color rgb="FF747887"/>
        <rFont val="Arial"/>
        <family val="2"/>
      </rPr>
      <t>-115</t>
    </r>
  </si>
  <si>
    <t>Giants2-12-0</t>
  </si>
  <si>
    <t>Browns3-11-0</t>
  </si>
  <si>
    <r>
      <t>u38.5</t>
    </r>
    <r>
      <rPr>
        <sz val="8"/>
        <color rgb="FF747887"/>
        <rFont val="Arial"/>
        <family val="2"/>
      </rPr>
      <t>-112</t>
    </r>
  </si>
  <si>
    <t>Bears10-4-0</t>
  </si>
  <si>
    <t>Chargers10-4-0</t>
  </si>
  <si>
    <r>
      <t>o41.5</t>
    </r>
    <r>
      <rPr>
        <sz val="8"/>
        <color rgb="FF747887"/>
        <rFont val="Arial"/>
        <family val="2"/>
      </rPr>
      <t>-112</t>
    </r>
  </si>
  <si>
    <r>
      <t>+5.5</t>
    </r>
    <r>
      <rPr>
        <sz val="8"/>
        <color rgb="FF747887"/>
        <rFont val="Arial"/>
        <family val="2"/>
      </rPr>
      <t>even</t>
    </r>
  </si>
  <si>
    <t>Chiefs6-8-0</t>
  </si>
  <si>
    <t>Jets3-11-0</t>
  </si>
  <si>
    <r>
      <t>u40.5</t>
    </r>
    <r>
      <rPr>
        <sz val="8"/>
        <color rgb="FF747887"/>
        <rFont val="Arial"/>
        <family val="2"/>
      </rPr>
      <t>-115</t>
    </r>
  </si>
  <si>
    <r>
      <t>o40.5</t>
    </r>
    <r>
      <rPr>
        <sz val="8"/>
        <color rgb="FF747887"/>
        <rFont val="Arial"/>
        <family val="2"/>
      </rPr>
      <t>-105</t>
    </r>
  </si>
  <si>
    <t>Jaguars10-4-0</t>
  </si>
  <si>
    <t>Raiders2-12-0</t>
  </si>
  <si>
    <r>
      <t>o36.5</t>
    </r>
    <r>
      <rPr>
        <sz val="8"/>
        <color rgb="FF747887"/>
        <rFont val="Arial"/>
        <family val="2"/>
      </rPr>
      <t>-118</t>
    </r>
  </si>
  <si>
    <r>
      <t>u37.5</t>
    </r>
    <r>
      <rPr>
        <sz val="8"/>
        <color rgb="FF747887"/>
        <rFont val="Arial"/>
        <family val="2"/>
      </rPr>
      <t>-115</t>
    </r>
  </si>
  <si>
    <t>Eagles9-5-0</t>
  </si>
  <si>
    <r>
      <t>u36.5</t>
    </r>
    <r>
      <rPr>
        <sz val="8"/>
        <color rgb="FF747887"/>
        <rFont val="Arial"/>
        <family val="2"/>
      </rPr>
      <t>-102</t>
    </r>
  </si>
  <si>
    <t>Bills10-4-0</t>
  </si>
  <si>
    <r>
      <t>o49.5</t>
    </r>
    <r>
      <rPr>
        <sz val="8"/>
        <color rgb="FF747887"/>
        <rFont val="Arial"/>
        <family val="2"/>
      </rPr>
      <t>-115</t>
    </r>
  </si>
  <si>
    <t>Patriots11-3-0</t>
  </si>
  <si>
    <r>
      <t>u49.5</t>
    </r>
    <r>
      <rPr>
        <sz val="8"/>
        <color rgb="FF747887"/>
        <rFont val="Arial"/>
        <family val="2"/>
      </rPr>
      <t>-105</t>
    </r>
  </si>
  <si>
    <r>
      <t>o49.5</t>
    </r>
    <r>
      <rPr>
        <sz val="8"/>
        <color rgb="FF747887"/>
        <rFont val="Arial"/>
        <family val="2"/>
      </rPr>
      <t>-108</t>
    </r>
  </si>
  <si>
    <t>Cardinals3-11-0</t>
  </si>
  <si>
    <r>
      <t>u42.5</t>
    </r>
    <r>
      <rPr>
        <sz val="8"/>
        <color rgb="FF747887"/>
        <rFont val="Arial"/>
        <family val="2"/>
      </rPr>
      <t>-115</t>
    </r>
  </si>
  <si>
    <t>Texans9-5-0</t>
  </si>
  <si>
    <t>Ravens7-7-0</t>
  </si>
  <si>
    <t>Bengals4-10-0</t>
  </si>
  <si>
    <t>FINAL 12/14 2:25PM</t>
  </si>
  <si>
    <t>Panthers7-7-0</t>
  </si>
  <si>
    <r>
      <t>o41.5</t>
    </r>
    <r>
      <rPr>
        <sz val="8"/>
        <color rgb="FF747887"/>
        <rFont val="Arial"/>
        <family val="2"/>
      </rPr>
      <t>-110</t>
    </r>
  </si>
  <si>
    <t>Saints4-10-0</t>
  </si>
  <si>
    <r>
      <t>u41.5</t>
    </r>
    <r>
      <rPr>
        <sz val="8"/>
        <color rgb="FF747887"/>
        <rFont val="Arial"/>
        <family val="2"/>
      </rPr>
      <t>-110</t>
    </r>
  </si>
  <si>
    <t>Colts8-6-0</t>
  </si>
  <si>
    <r>
      <t>o41.5</t>
    </r>
    <r>
      <rPr>
        <sz val="8"/>
        <color rgb="FF747887"/>
        <rFont val="Arial"/>
        <family val="2"/>
      </rPr>
      <t>-115</t>
    </r>
  </si>
  <si>
    <t>Seahawks11-3-0</t>
  </si>
  <si>
    <t>Lions8-6-0</t>
  </si>
  <si>
    <r>
      <t>o54.5</t>
    </r>
    <r>
      <rPr>
        <sz val="8"/>
        <color rgb="FF747887"/>
        <rFont val="Arial"/>
        <family val="2"/>
      </rPr>
      <t>-115</t>
    </r>
  </si>
  <si>
    <r>
      <t>o54.5</t>
    </r>
    <r>
      <rPr>
        <sz val="8"/>
        <color rgb="FF747887"/>
        <rFont val="Arial"/>
        <family val="2"/>
      </rPr>
      <t>-110</t>
    </r>
  </si>
  <si>
    <t>Rams11-3-0</t>
  </si>
  <si>
    <r>
      <t>u54.5</t>
    </r>
    <r>
      <rPr>
        <sz val="8"/>
        <color rgb="FF747887"/>
        <rFont val="Arial"/>
        <family val="2"/>
      </rPr>
      <t>-105</t>
    </r>
  </si>
  <si>
    <t>Packers9-4-1</t>
  </si>
  <si>
    <r>
      <t>o42.5</t>
    </r>
    <r>
      <rPr>
        <sz val="8"/>
        <color rgb="FF747887"/>
        <rFont val="Arial"/>
        <family val="2"/>
      </rPr>
      <t>-110</t>
    </r>
  </si>
  <si>
    <t>Broncos12-2-0</t>
  </si>
  <si>
    <r>
      <t>o42.5</t>
    </r>
    <r>
      <rPr>
        <sz val="8"/>
        <color rgb="FF747887"/>
        <rFont val="Arial"/>
        <family val="2"/>
      </rPr>
      <t>-105</t>
    </r>
  </si>
  <si>
    <t>Titans2-12-0</t>
  </si>
  <si>
    <r>
      <t>u44.5</t>
    </r>
    <r>
      <rPr>
        <sz val="8"/>
        <color rgb="FF747887"/>
        <rFont val="Arial"/>
        <family val="2"/>
      </rPr>
      <t>-112</t>
    </r>
  </si>
  <si>
    <t>49ers10-4-0</t>
  </si>
  <si>
    <t>FINAL 12/14 6:20PM</t>
  </si>
  <si>
    <t>Vikings6-8-0</t>
  </si>
  <si>
    <r>
      <t>o47.5</t>
    </r>
    <r>
      <rPr>
        <sz val="8"/>
        <color rgb="FF747887"/>
        <rFont val="Arial"/>
        <family val="2"/>
      </rPr>
      <t>-118</t>
    </r>
  </si>
  <si>
    <r>
      <t>o47.5</t>
    </r>
    <r>
      <rPr>
        <sz val="8"/>
        <color rgb="FF747887"/>
        <rFont val="Arial"/>
        <family val="2"/>
      </rPr>
      <t>-110</t>
    </r>
  </si>
  <si>
    <t>Cowboys6-7-1</t>
  </si>
  <si>
    <r>
      <t>u47.5</t>
    </r>
    <r>
      <rPr>
        <sz val="8"/>
        <color rgb="FF747887"/>
        <rFont val="Arial"/>
        <family val="2"/>
      </rPr>
      <t>-102</t>
    </r>
  </si>
  <si>
    <t>FINAL 12/15 6:15PM</t>
  </si>
  <si>
    <t>Dolphins6-8-0</t>
  </si>
  <si>
    <r>
      <t>u43.5</t>
    </r>
    <r>
      <rPr>
        <sz val="8"/>
        <color rgb="FF747887"/>
        <rFont val="Arial"/>
        <family val="2"/>
      </rPr>
      <t>-115</t>
    </r>
  </si>
  <si>
    <r>
      <t>o42.5</t>
    </r>
    <r>
      <rPr>
        <sz val="8"/>
        <color rgb="FF747887"/>
        <rFont val="Arial"/>
        <family val="2"/>
      </rPr>
      <t>-112</t>
    </r>
  </si>
  <si>
    <t>Steelers8-6-0</t>
  </si>
  <si>
    <r>
      <t>u43.5</t>
    </r>
    <r>
      <rPr>
        <sz val="8"/>
        <color rgb="FF747887"/>
        <rFont val="Arial"/>
        <family val="2"/>
      </rPr>
      <t>-120</t>
    </r>
  </si>
  <si>
    <t>FINAL 12/4 6:15PM</t>
  </si>
  <si>
    <t>Cowboys6-6-1</t>
  </si>
  <si>
    <r>
      <t>o55.5</t>
    </r>
    <r>
      <rPr>
        <sz val="8"/>
        <color rgb="FF747887"/>
        <rFont val="Arial"/>
        <family val="2"/>
      </rPr>
      <t>-110</t>
    </r>
  </si>
  <si>
    <r>
      <t>u55.5</t>
    </r>
    <r>
      <rPr>
        <sz val="8"/>
        <color rgb="FF747887"/>
        <rFont val="Arial"/>
        <family val="2"/>
      </rPr>
      <t>-115</t>
    </r>
  </si>
  <si>
    <t>Lions8-5-0</t>
  </si>
  <si>
    <r>
      <t>u55.5</t>
    </r>
    <r>
      <rPr>
        <sz val="8"/>
        <color rgb="FF747887"/>
        <rFont val="Arial"/>
        <family val="2"/>
      </rPr>
      <t>-110</t>
    </r>
  </si>
  <si>
    <t>FINAL 12/7 11:00AM</t>
  </si>
  <si>
    <t>Colts8-5-0</t>
  </si>
  <si>
    <t>Jaguars9-4-0</t>
  </si>
  <si>
    <r>
      <t>u44.5</t>
    </r>
    <r>
      <rPr>
        <sz val="8"/>
        <color rgb="FF747887"/>
        <rFont val="Arial"/>
        <family val="2"/>
      </rPr>
      <t>-105</t>
    </r>
  </si>
  <si>
    <t>Titans2-11-0</t>
  </si>
  <si>
    <r>
      <t>u33.5</t>
    </r>
    <r>
      <rPr>
        <sz val="8"/>
        <color rgb="FF747887"/>
        <rFont val="Arial"/>
        <family val="2"/>
      </rPr>
      <t>-112</t>
    </r>
  </si>
  <si>
    <r>
      <t>o33.5</t>
    </r>
    <r>
      <rPr>
        <sz val="8"/>
        <color rgb="FF747887"/>
        <rFont val="Arial"/>
        <family val="2"/>
      </rPr>
      <t>-115</t>
    </r>
  </si>
  <si>
    <r>
      <t>o33.5</t>
    </r>
    <r>
      <rPr>
        <sz val="8"/>
        <color rgb="FF747887"/>
        <rFont val="Arial"/>
        <family val="2"/>
      </rPr>
      <t>-108</t>
    </r>
  </si>
  <si>
    <t>Browns3-10-0</t>
  </si>
  <si>
    <t>Commanders3-10-0</t>
  </si>
  <si>
    <t>Vikings5-8-0</t>
  </si>
  <si>
    <r>
      <t>u43.5</t>
    </r>
    <r>
      <rPr>
        <sz val="8"/>
        <color rgb="FF747887"/>
        <rFont val="Arial"/>
        <family val="2"/>
      </rPr>
      <t>-102</t>
    </r>
  </si>
  <si>
    <t>Bengals4-9-0</t>
  </si>
  <si>
    <r>
      <t>o54.5</t>
    </r>
    <r>
      <rPr>
        <sz val="8"/>
        <color rgb="FF747887"/>
        <rFont val="Arial"/>
        <family val="2"/>
      </rPr>
      <t>-112</t>
    </r>
  </si>
  <si>
    <t>Bills9-4-0</t>
  </si>
  <si>
    <r>
      <t>u54.5</t>
    </r>
    <r>
      <rPr>
        <sz val="8"/>
        <color rgb="FF747887"/>
        <rFont val="Arial"/>
        <family val="2"/>
      </rPr>
      <t>-108</t>
    </r>
  </si>
  <si>
    <t>Saints3-10-0</t>
  </si>
  <si>
    <t>Buccaneers7-6-0</t>
  </si>
  <si>
    <t>Steelers7-6-0</t>
  </si>
  <si>
    <t>Ravens6-7-0</t>
  </si>
  <si>
    <t>Seahawks10-3-0</t>
  </si>
  <si>
    <r>
      <t>-6.5</t>
    </r>
    <r>
      <rPr>
        <sz val="8"/>
        <color rgb="FF747887"/>
        <rFont val="Arial"/>
        <family val="2"/>
      </rPr>
      <t>even</t>
    </r>
  </si>
  <si>
    <r>
      <t>-7</t>
    </r>
    <r>
      <rPr>
        <sz val="8"/>
        <color rgb="FF747887"/>
        <rFont val="Arial"/>
        <family val="2"/>
      </rPr>
      <t>even</t>
    </r>
  </si>
  <si>
    <t>Falcons4-9-0</t>
  </si>
  <si>
    <t>Dolphins6-7-0</t>
  </si>
  <si>
    <t>Jets3-10-0</t>
  </si>
  <si>
    <r>
      <t>u40.5</t>
    </r>
    <r>
      <rPr>
        <sz val="8"/>
        <color rgb="FF747887"/>
        <rFont val="Arial"/>
        <family val="2"/>
      </rPr>
      <t>-102</t>
    </r>
  </si>
  <si>
    <t>FINAL 12/7 2:05PM</t>
  </si>
  <si>
    <t>Broncos11-2-0</t>
  </si>
  <si>
    <t>Raiders2-11-0</t>
  </si>
  <si>
    <t>FINAL 12/7 2:25PM</t>
  </si>
  <si>
    <t>Rams10-3-0</t>
  </si>
  <si>
    <r>
      <t>o49.5</t>
    </r>
    <r>
      <rPr>
        <sz val="8"/>
        <color rgb="FF747887"/>
        <rFont val="Arial"/>
        <family val="2"/>
      </rPr>
      <t>-110</t>
    </r>
  </si>
  <si>
    <t>Cardinals3-10-0</t>
  </si>
  <si>
    <r>
      <t>u49.5</t>
    </r>
    <r>
      <rPr>
        <sz val="8"/>
        <color rgb="FF747887"/>
        <rFont val="Arial"/>
        <family val="2"/>
      </rPr>
      <t>-110</t>
    </r>
  </si>
  <si>
    <r>
      <t>o49.5</t>
    </r>
    <r>
      <rPr>
        <sz val="8"/>
        <color rgb="FF747887"/>
        <rFont val="Arial"/>
        <family val="2"/>
      </rPr>
      <t>-105</t>
    </r>
  </si>
  <si>
    <t>Bears9-4-0</t>
  </si>
  <si>
    <t>Packers9-3-1</t>
  </si>
  <si>
    <t>FINAL 12/7 6:20PM</t>
  </si>
  <si>
    <t>Texans8-5-0</t>
  </si>
  <si>
    <t>Chiefs6-7-0</t>
  </si>
  <si>
    <t>FINAL 12/8 6:15PM</t>
  </si>
  <si>
    <t>Eagles8-5-0</t>
  </si>
  <si>
    <t>Chargers9-4-0</t>
  </si>
  <si>
    <t>FINAL 11/27 11:00AM</t>
  </si>
  <si>
    <t>Packers8-3-1</t>
  </si>
  <si>
    <r>
      <t>o47.5</t>
    </r>
    <r>
      <rPr>
        <sz val="8"/>
        <color rgb="FF747887"/>
        <rFont val="Arial"/>
        <family val="2"/>
      </rPr>
      <t>-120</t>
    </r>
  </si>
  <si>
    <t>Lions7-5-0</t>
  </si>
  <si>
    <r>
      <t>u47.5</t>
    </r>
    <r>
      <rPr>
        <sz val="8"/>
        <color rgb="FF747887"/>
        <rFont val="Arial"/>
        <family val="2"/>
      </rPr>
      <t>-110</t>
    </r>
  </si>
  <si>
    <t>FINAL 11/27 2:30PM</t>
  </si>
  <si>
    <t>Chiefs6-6-0</t>
  </si>
  <si>
    <r>
      <t>o53.5</t>
    </r>
    <r>
      <rPr>
        <sz val="8"/>
        <color rgb="FF747887"/>
        <rFont val="Arial"/>
        <family val="2"/>
      </rPr>
      <t>-108</t>
    </r>
  </si>
  <si>
    <t>Cowboys6-5-1</t>
  </si>
  <si>
    <r>
      <t>u52.5</t>
    </r>
    <r>
      <rPr>
        <sz val="8"/>
        <color rgb="FF747887"/>
        <rFont val="Arial"/>
        <family val="2"/>
      </rPr>
      <t>-105</t>
    </r>
  </si>
  <si>
    <r>
      <t>u53.5</t>
    </r>
    <r>
      <rPr>
        <sz val="8"/>
        <color rgb="FF747887"/>
        <rFont val="Arial"/>
        <family val="2"/>
      </rPr>
      <t>-112</t>
    </r>
  </si>
  <si>
    <t>FINAL 11/27 6:20PM</t>
  </si>
  <si>
    <t>Bengals4-8-0</t>
  </si>
  <si>
    <r>
      <t>o51.5</t>
    </r>
    <r>
      <rPr>
        <sz val="8"/>
        <color rgb="FF747887"/>
        <rFont val="Arial"/>
        <family val="2"/>
      </rPr>
      <t>-115</t>
    </r>
  </si>
  <si>
    <r>
      <t>o52.5</t>
    </r>
    <r>
      <rPr>
        <sz val="8"/>
        <color rgb="FF747887"/>
        <rFont val="Arial"/>
        <family val="2"/>
      </rPr>
      <t>-105</t>
    </r>
  </si>
  <si>
    <t>Ravens6-6-0</t>
  </si>
  <si>
    <t>FINAL 11/28 1:00PM</t>
  </si>
  <si>
    <t>Bears9-3-0</t>
  </si>
  <si>
    <r>
      <t>o43.5</t>
    </r>
    <r>
      <rPr>
        <sz val="8"/>
        <color rgb="FF747887"/>
        <rFont val="Arial"/>
        <family val="2"/>
      </rPr>
      <t>-105</t>
    </r>
  </si>
  <si>
    <t>Eagles8-4-0</t>
  </si>
  <si>
    <t>FINAL 11/30 11:00AM</t>
  </si>
  <si>
    <t>Saints2-10-0</t>
  </si>
  <si>
    <t>Dolphins5-7-0</t>
  </si>
  <si>
    <t>Rams9-3-0</t>
  </si>
  <si>
    <t>Panthers7-6-0</t>
  </si>
  <si>
    <t>Falcons4-8-0</t>
  </si>
  <si>
    <t>Jets3-9-0</t>
  </si>
  <si>
    <t>49ers9-4-0</t>
  </si>
  <si>
    <r>
      <t>o35.5</t>
    </r>
    <r>
      <rPr>
        <sz val="8"/>
        <color rgb="FF747887"/>
        <rFont val="Arial"/>
        <family val="2"/>
      </rPr>
      <t>-110</t>
    </r>
  </si>
  <si>
    <t>Browns3-9-0</t>
  </si>
  <si>
    <r>
      <t>u35.5</t>
    </r>
    <r>
      <rPr>
        <sz val="8"/>
        <color rgb="FF747887"/>
        <rFont val="Arial"/>
        <family val="2"/>
      </rPr>
      <t>-110</t>
    </r>
  </si>
  <si>
    <r>
      <t>o35.5</t>
    </r>
    <r>
      <rPr>
        <sz val="8"/>
        <color rgb="FF747887"/>
        <rFont val="Arial"/>
        <family val="2"/>
      </rPr>
      <t>-105</t>
    </r>
  </si>
  <si>
    <r>
      <t>u35.5</t>
    </r>
    <r>
      <rPr>
        <sz val="8"/>
        <color rgb="FF747887"/>
        <rFont val="Arial"/>
        <family val="2"/>
      </rPr>
      <t>-108</t>
    </r>
  </si>
  <si>
    <r>
      <t>u35.5</t>
    </r>
    <r>
      <rPr>
        <sz val="8"/>
        <color rgb="FF747887"/>
        <rFont val="Arial"/>
        <family val="2"/>
      </rPr>
      <t>-120</t>
    </r>
  </si>
  <si>
    <t>Jaguars8-4-0</t>
  </si>
  <si>
    <t>Titans1-11-0</t>
  </si>
  <si>
    <t>Cardinals3-9-0</t>
  </si>
  <si>
    <r>
      <t>u45.5</t>
    </r>
    <r>
      <rPr>
        <sz val="8"/>
        <color rgb="FF747887"/>
        <rFont val="Arial"/>
        <family val="2"/>
      </rPr>
      <t>-112</t>
    </r>
  </si>
  <si>
    <r>
      <t>o45.5</t>
    </r>
    <r>
      <rPr>
        <sz val="8"/>
        <color rgb="FF747887"/>
        <rFont val="Arial"/>
        <family val="2"/>
      </rPr>
      <t>-108</t>
    </r>
  </si>
  <si>
    <t>Buccaneers7-5-0</t>
  </si>
  <si>
    <t>Texans7-5-0</t>
  </si>
  <si>
    <t>Colts8-4-0</t>
  </si>
  <si>
    <t>FINAL 11/30 2:05PM</t>
  </si>
  <si>
    <t>Vikings4-8-0</t>
  </si>
  <si>
    <t>Seahawks9-3-0</t>
  </si>
  <si>
    <t>FINAL 11/30 2:25PM</t>
  </si>
  <si>
    <t>Bills8-4-0</t>
  </si>
  <si>
    <t>Steelers6-6-0</t>
  </si>
  <si>
    <r>
      <t>u45.5</t>
    </r>
    <r>
      <rPr>
        <sz val="8"/>
        <color rgb="FF747887"/>
        <rFont val="Arial"/>
        <family val="2"/>
      </rPr>
      <t>-110</t>
    </r>
  </si>
  <si>
    <r>
      <t>+3</t>
    </r>
    <r>
      <rPr>
        <sz val="8"/>
        <color rgb="FF747887"/>
        <rFont val="Arial"/>
        <family val="2"/>
      </rPr>
      <t>even</t>
    </r>
  </si>
  <si>
    <t>Raiders2-10-0</t>
  </si>
  <si>
    <r>
      <t>o40.5</t>
    </r>
    <r>
      <rPr>
        <sz val="8"/>
        <color rgb="FF747887"/>
        <rFont val="Arial"/>
        <family val="2"/>
      </rPr>
      <t>-112</t>
    </r>
  </si>
  <si>
    <t>Chargers8-4-0</t>
  </si>
  <si>
    <t>FINAL 11/30 6:20PM</t>
  </si>
  <si>
    <t>Broncos10-2-0</t>
  </si>
  <si>
    <t>Commanders3-9-0</t>
  </si>
  <si>
    <r>
      <t>u43.5</t>
    </r>
    <r>
      <rPr>
        <sz val="8"/>
        <color rgb="FF747887"/>
        <rFont val="Arial"/>
        <family val="2"/>
      </rPr>
      <t>-112</t>
    </r>
  </si>
  <si>
    <t>FINAL 12/1 6:15PM</t>
  </si>
  <si>
    <t>Giants2-11-0</t>
  </si>
  <si>
    <r>
      <t>u47.5</t>
    </r>
    <r>
      <rPr>
        <sz val="8"/>
        <color rgb="FF747887"/>
        <rFont val="Arial"/>
        <family val="2"/>
      </rPr>
      <t>-115</t>
    </r>
  </si>
  <si>
    <t>Patriots11-2-0</t>
  </si>
  <si>
    <r>
      <t>u46.5</t>
    </r>
    <r>
      <rPr>
        <sz val="8"/>
        <color rgb="FF747887"/>
        <rFont val="Arial"/>
        <family val="2"/>
      </rPr>
      <t>-105</t>
    </r>
  </si>
  <si>
    <t>FINAL 11/20 6:15PM</t>
  </si>
  <si>
    <t>Bills7-4-0</t>
  </si>
  <si>
    <t>Texans6-5-0</t>
  </si>
  <si>
    <t>FINAL 11/23 11:00AM</t>
  </si>
  <si>
    <t>Seahawks8-3-0</t>
  </si>
  <si>
    <t>Titans1-10-0</t>
  </si>
  <si>
    <t>Giants2-10-0</t>
  </si>
  <si>
    <r>
      <t>o50.5</t>
    </r>
    <r>
      <rPr>
        <sz val="8"/>
        <color rgb="FF747887"/>
        <rFont val="Arial"/>
        <family val="2"/>
      </rPr>
      <t>-122</t>
    </r>
  </si>
  <si>
    <r>
      <t>+14</t>
    </r>
    <r>
      <rPr>
        <sz val="8"/>
        <color rgb="FF747887"/>
        <rFont val="Arial"/>
        <family val="2"/>
      </rPr>
      <t>even</t>
    </r>
  </si>
  <si>
    <t>Lions7-4-0</t>
  </si>
  <si>
    <r>
      <t>u50.5</t>
    </r>
    <r>
      <rPr>
        <sz val="8"/>
        <color rgb="FF747887"/>
        <rFont val="Arial"/>
        <family val="2"/>
      </rPr>
      <t>even</t>
    </r>
  </si>
  <si>
    <t>Vikings4-7-0</t>
  </si>
  <si>
    <t>Packers7-3-1</t>
  </si>
  <si>
    <t>Colts8-3-0</t>
  </si>
  <si>
    <r>
      <t>u50.5</t>
    </r>
    <r>
      <rPr>
        <sz val="8"/>
        <color rgb="FF747887"/>
        <rFont val="Arial"/>
        <family val="2"/>
      </rPr>
      <t>-112</t>
    </r>
  </si>
  <si>
    <r>
      <t>o50.5</t>
    </r>
    <r>
      <rPr>
        <sz val="8"/>
        <color rgb="FF747887"/>
        <rFont val="Arial"/>
        <family val="2"/>
      </rPr>
      <t>-108</t>
    </r>
  </si>
  <si>
    <t>Chiefs6-5-0</t>
  </si>
  <si>
    <t>Steelers6-5-0</t>
  </si>
  <si>
    <t>Bears8-3-0</t>
  </si>
  <si>
    <t>Patriots10-2-0</t>
  </si>
  <si>
    <t>Bengals3-8-0</t>
  </si>
  <si>
    <r>
      <t>u50.5</t>
    </r>
    <r>
      <rPr>
        <sz val="8"/>
        <color rgb="FF747887"/>
        <rFont val="Arial"/>
        <family val="2"/>
      </rPr>
      <t>-110</t>
    </r>
  </si>
  <si>
    <t>Jets2-9-0</t>
  </si>
  <si>
    <r>
      <t>o44.5</t>
    </r>
    <r>
      <rPr>
        <sz val="8"/>
        <color rgb="FF747887"/>
        <rFont val="Arial"/>
        <family val="2"/>
      </rPr>
      <t>-118</t>
    </r>
  </si>
  <si>
    <t>Ravens6-5-0</t>
  </si>
  <si>
    <r>
      <t>u44.5</t>
    </r>
    <r>
      <rPr>
        <sz val="8"/>
        <color rgb="FF747887"/>
        <rFont val="Arial"/>
        <family val="2"/>
      </rPr>
      <t>-102</t>
    </r>
  </si>
  <si>
    <t>FINAL 11/23 2:05PM</t>
  </si>
  <si>
    <t>Browns3-8-0</t>
  </si>
  <si>
    <r>
      <t>u36.5</t>
    </r>
    <r>
      <rPr>
        <sz val="8"/>
        <color rgb="FF747887"/>
        <rFont val="Arial"/>
        <family val="2"/>
      </rPr>
      <t>-118</t>
    </r>
  </si>
  <si>
    <t>Raiders2-9-0</t>
  </si>
  <si>
    <t>Jaguars7-4-0</t>
  </si>
  <si>
    <r>
      <t>-2.5</t>
    </r>
    <r>
      <rPr>
        <sz val="8"/>
        <color rgb="FF747887"/>
        <rFont val="Arial"/>
        <family val="2"/>
      </rPr>
      <t>even</t>
    </r>
  </si>
  <si>
    <r>
      <t>o47.5</t>
    </r>
    <r>
      <rPr>
        <sz val="8"/>
        <color rgb="FF747887"/>
        <rFont val="Arial"/>
        <family val="2"/>
      </rPr>
      <t>-105</t>
    </r>
  </si>
  <si>
    <t>Cardinals3-8-0</t>
  </si>
  <si>
    <t>FINAL 11/23 2:25PM</t>
  </si>
  <si>
    <t>Falcons4-7-0</t>
  </si>
  <si>
    <r>
      <t>u41.5</t>
    </r>
    <r>
      <rPr>
        <sz val="8"/>
        <color rgb="FF747887"/>
        <rFont val="Arial"/>
        <family val="2"/>
      </rPr>
      <t>-118</t>
    </r>
  </si>
  <si>
    <r>
      <t>o40.5</t>
    </r>
    <r>
      <rPr>
        <sz val="8"/>
        <color rgb="FF747887"/>
        <rFont val="Arial"/>
        <family val="2"/>
      </rPr>
      <t>-118</t>
    </r>
  </si>
  <si>
    <t>Saints2-9-0</t>
  </si>
  <si>
    <t>Eagles8-3-0</t>
  </si>
  <si>
    <t>Cowboys5-5-1</t>
  </si>
  <si>
    <r>
      <t>u47.5</t>
    </r>
    <r>
      <rPr>
        <sz val="8"/>
        <color rgb="FF747887"/>
        <rFont val="Arial"/>
        <family val="2"/>
      </rPr>
      <t>even</t>
    </r>
  </si>
  <si>
    <t>FINAL 11/23 6:20PM</t>
  </si>
  <si>
    <t>Buccaneers6-5-0</t>
  </si>
  <si>
    <r>
      <t>o49.5</t>
    </r>
    <r>
      <rPr>
        <sz val="8"/>
        <color rgb="FF747887"/>
        <rFont val="Arial"/>
        <family val="2"/>
      </rPr>
      <t>-120</t>
    </r>
  </si>
  <si>
    <t>Rams9-2-0</t>
  </si>
  <si>
    <r>
      <t>u49.5</t>
    </r>
    <r>
      <rPr>
        <sz val="8"/>
        <color rgb="FF747887"/>
        <rFont val="Arial"/>
        <family val="2"/>
      </rPr>
      <t>-115</t>
    </r>
  </si>
  <si>
    <t>FINAL 11/24 6:15PM</t>
  </si>
  <si>
    <t>Panthers6-6-0</t>
  </si>
  <si>
    <r>
      <t>u49.5</t>
    </r>
    <r>
      <rPr>
        <sz val="8"/>
        <color rgb="FF747887"/>
        <rFont val="Arial"/>
        <family val="2"/>
      </rPr>
      <t>-120</t>
    </r>
  </si>
  <si>
    <t>49ers8-4-0</t>
  </si>
  <si>
    <t>FINAL 11/13 6:15PM</t>
  </si>
  <si>
    <t>DAVE DAMESHEK ON TEAMS DESPERATE FOR JOHN HARBAUGH</t>
  </si>
  <si>
    <t>FINAL 11/16 7:30AM</t>
  </si>
  <si>
    <r>
      <t>o47.5</t>
    </r>
    <r>
      <rPr>
        <sz val="8"/>
        <color rgb="FF747887"/>
        <rFont val="Arial"/>
        <family val="2"/>
      </rPr>
      <t>-112</t>
    </r>
  </si>
  <si>
    <r>
      <t>u47.5</t>
    </r>
    <r>
      <rPr>
        <sz val="8"/>
        <color rgb="FF747887"/>
        <rFont val="Arial"/>
        <family val="2"/>
      </rPr>
      <t>-108</t>
    </r>
  </si>
  <si>
    <t>FINAL 11/16 11:00AM</t>
  </si>
  <si>
    <r>
      <t>o37.5</t>
    </r>
    <r>
      <rPr>
        <sz val="8"/>
        <color rgb="FF747887"/>
        <rFont val="Arial"/>
        <family val="2"/>
      </rPr>
      <t>-105</t>
    </r>
  </si>
  <si>
    <r>
      <t>o42.5</t>
    </r>
    <r>
      <rPr>
        <sz val="8"/>
        <color rgb="FF747887"/>
        <rFont val="Arial"/>
        <family val="2"/>
      </rPr>
      <t>-120</t>
    </r>
  </si>
  <si>
    <t>FINAL 11/16 2:05PM</t>
  </si>
  <si>
    <r>
      <t>o48.5</t>
    </r>
    <r>
      <rPr>
        <sz val="8"/>
        <color rgb="FF747887"/>
        <rFont val="Arial"/>
        <family val="2"/>
      </rPr>
      <t>-108</t>
    </r>
  </si>
  <si>
    <r>
      <t>u48.5</t>
    </r>
    <r>
      <rPr>
        <sz val="8"/>
        <color rgb="FF747887"/>
        <rFont val="Arial"/>
        <family val="2"/>
      </rPr>
      <t>-112</t>
    </r>
  </si>
  <si>
    <t>FINAL 11/16 2:25PM</t>
  </si>
  <si>
    <t>FINAL 11/16 6:20PM</t>
  </si>
  <si>
    <r>
      <t>o46.5</t>
    </r>
    <r>
      <rPr>
        <sz val="8"/>
        <color rgb="FF747887"/>
        <rFont val="Arial"/>
        <family val="2"/>
      </rPr>
      <t>-108</t>
    </r>
  </si>
  <si>
    <t>FINAL 11/17 6:15PM</t>
  </si>
  <si>
    <r>
      <t>u48.5</t>
    </r>
    <r>
      <rPr>
        <sz val="8"/>
        <color rgb="FF747887"/>
        <rFont val="Arial"/>
        <family val="2"/>
      </rPr>
      <t>-115</t>
    </r>
  </si>
  <si>
    <t>FINAL 11/6 6:15PM</t>
  </si>
  <si>
    <t>Raiders2-7-0</t>
  </si>
  <si>
    <t>Broncos8-2-0</t>
  </si>
  <si>
    <r>
      <t>u42.5</t>
    </r>
    <r>
      <rPr>
        <sz val="8"/>
        <color rgb="FF747887"/>
        <rFont val="Arial"/>
        <family val="2"/>
      </rPr>
      <t>-108</t>
    </r>
  </si>
  <si>
    <t>FINAL 11/9 7:30AM</t>
  </si>
  <si>
    <t>Falcons3-6-0</t>
  </si>
  <si>
    <t>Colts8-2-0</t>
  </si>
  <si>
    <t>FINAL 11/9 11:00AM</t>
  </si>
  <si>
    <t>Bills6-3-0</t>
  </si>
  <si>
    <t>Dolphins3-7-0</t>
  </si>
  <si>
    <t>Saints2-8-0</t>
  </si>
  <si>
    <t>Panthers5-5-0</t>
  </si>
  <si>
    <t>Ravens4-5-0</t>
  </si>
  <si>
    <t>Vikings4-5-0</t>
  </si>
  <si>
    <t>Patriots8-2-0</t>
  </si>
  <si>
    <r>
      <t>u48.5</t>
    </r>
    <r>
      <rPr>
        <sz val="8"/>
        <color rgb="FF747887"/>
        <rFont val="Arial"/>
        <family val="2"/>
      </rPr>
      <t>-118</t>
    </r>
  </si>
  <si>
    <r>
      <t>o48.5</t>
    </r>
    <r>
      <rPr>
        <sz val="8"/>
        <color rgb="FF747887"/>
        <rFont val="Arial"/>
        <family val="2"/>
      </rPr>
      <t>-102</t>
    </r>
  </si>
  <si>
    <t>Buccaneers6-3-0</t>
  </si>
  <si>
    <t>Jaguars5-4-0</t>
  </si>
  <si>
    <r>
      <t>-1.5</t>
    </r>
    <r>
      <rPr>
        <sz val="8"/>
        <color rgb="FF747887"/>
        <rFont val="Arial"/>
        <family val="2"/>
      </rPr>
      <t>even</t>
    </r>
  </si>
  <si>
    <t>Texans4-5-0</t>
  </si>
  <si>
    <t>Browns2-7-0</t>
  </si>
  <si>
    <t>Jets2-7-0</t>
  </si>
  <si>
    <t>Giants2-8-0</t>
  </si>
  <si>
    <r>
      <t>o45.5</t>
    </r>
    <r>
      <rPr>
        <sz val="8"/>
        <color rgb="FF747887"/>
        <rFont val="Arial"/>
        <family val="2"/>
      </rPr>
      <t>-110</t>
    </r>
  </si>
  <si>
    <t>Bears6-3-0</t>
  </si>
  <si>
    <t>FINAL 11/9 2:05PM</t>
  </si>
  <si>
    <t>Cardinals3-6-0</t>
  </si>
  <si>
    <t>Seahawks7-2-0</t>
  </si>
  <si>
    <t>FINAL 11/9 2:25PM</t>
  </si>
  <si>
    <t>Lions6-3-0</t>
  </si>
  <si>
    <t>Commanders3-7-0</t>
  </si>
  <si>
    <r>
      <t>u49.5</t>
    </r>
    <r>
      <rPr>
        <sz val="8"/>
        <color rgb="FF747887"/>
        <rFont val="Arial"/>
        <family val="2"/>
      </rPr>
      <t>-112</t>
    </r>
  </si>
  <si>
    <t>Rams7-2-0</t>
  </si>
  <si>
    <t>49ers6-4-0</t>
  </si>
  <si>
    <t>FINAL 11/9 6:20PM</t>
  </si>
  <si>
    <t>Steelers5-4-0</t>
  </si>
  <si>
    <t>Chargers7-3-0</t>
  </si>
  <si>
    <t>FINAL 11/10 6:15PM</t>
  </si>
  <si>
    <t>Eagles7-2-0</t>
  </si>
  <si>
    <t>Packers5-3-1</t>
  </si>
  <si>
    <r>
      <t>u45.5</t>
    </r>
    <r>
      <rPr>
        <sz val="8"/>
        <color rgb="FF747887"/>
        <rFont val="Arial"/>
        <family val="2"/>
      </rPr>
      <t>-108</t>
    </r>
  </si>
  <si>
    <t>FINAL 10/30 4:15PM</t>
  </si>
  <si>
    <t>Ravens3-5-0</t>
  </si>
  <si>
    <t>Dolphins2-7-0</t>
  </si>
  <si>
    <t>FINAL 11/2 11:00AM</t>
  </si>
  <si>
    <t>Colts7-2-0</t>
  </si>
  <si>
    <t>Steelers5-3-0</t>
  </si>
  <si>
    <r>
      <t>u51.5</t>
    </r>
    <r>
      <rPr>
        <sz val="8"/>
        <color rgb="FF747887"/>
        <rFont val="Arial"/>
        <family val="2"/>
      </rPr>
      <t>-105</t>
    </r>
  </si>
  <si>
    <t>Bears5-3-0</t>
  </si>
  <si>
    <t>Bengals3-6-0</t>
  </si>
  <si>
    <t>Chargers6-3-0</t>
  </si>
  <si>
    <t>Titans1-8-0</t>
  </si>
  <si>
    <t>Broncos7-2-0</t>
  </si>
  <si>
    <r>
      <t>o40.5</t>
    </r>
    <r>
      <rPr>
        <sz val="8"/>
        <color rgb="FF747887"/>
        <rFont val="Arial"/>
        <family val="2"/>
      </rPr>
      <t>-110</t>
    </r>
  </si>
  <si>
    <t>Texans3-5-0</t>
  </si>
  <si>
    <t>Falcons3-5-0</t>
  </si>
  <si>
    <t>Patriots7-2-0</t>
  </si>
  <si>
    <t>Vikings4-4-0</t>
  </si>
  <si>
    <t>Lions5-3-0</t>
  </si>
  <si>
    <t>49ers6-3-0</t>
  </si>
  <si>
    <t>Giants2-7-0</t>
  </si>
  <si>
    <r>
      <t>o48.5</t>
    </r>
    <r>
      <rPr>
        <sz val="8"/>
        <color rgb="FF747887"/>
        <rFont val="Arial"/>
        <family val="2"/>
      </rPr>
      <t>even</t>
    </r>
  </si>
  <si>
    <t>Panthers5-4-0</t>
  </si>
  <si>
    <t>Packers5-2-1</t>
  </si>
  <si>
    <t>FINAL 11/2 2:05PM</t>
  </si>
  <si>
    <t>Jaguars5-3-0</t>
  </si>
  <si>
    <t>Raiders2-6-0</t>
  </si>
  <si>
    <r>
      <t>u43.5</t>
    </r>
    <r>
      <rPr>
        <sz val="8"/>
        <color rgb="FF747887"/>
        <rFont val="Arial"/>
        <family val="2"/>
      </rPr>
      <t>-108</t>
    </r>
  </si>
  <si>
    <t>Saints1-8-0</t>
  </si>
  <si>
    <t>Rams6-2-0</t>
  </si>
  <si>
    <t>FINAL 11/2 2:25PM</t>
  </si>
  <si>
    <t>Chiefs5-4-0</t>
  </si>
  <si>
    <r>
      <t>o53.5</t>
    </r>
    <r>
      <rPr>
        <sz val="8"/>
        <color rgb="FF747887"/>
        <rFont val="Arial"/>
        <family val="2"/>
      </rPr>
      <t>-110</t>
    </r>
  </si>
  <si>
    <t>Bills6-2-0</t>
  </si>
  <si>
    <r>
      <t>o53.5</t>
    </r>
    <r>
      <rPr>
        <sz val="8"/>
        <color rgb="FF747887"/>
        <rFont val="Arial"/>
        <family val="2"/>
      </rPr>
      <t>-105</t>
    </r>
  </si>
  <si>
    <r>
      <t>u53.5</t>
    </r>
    <r>
      <rPr>
        <sz val="8"/>
        <color rgb="FF747887"/>
        <rFont val="Arial"/>
        <family val="2"/>
      </rPr>
      <t>-120</t>
    </r>
  </si>
  <si>
    <t>FINAL 11/2 6:20PM</t>
  </si>
  <si>
    <t>Seahawks6-2-0</t>
  </si>
  <si>
    <t>Commanders3-6-0</t>
  </si>
  <si>
    <t>FINAL 11/3 6:15PM</t>
  </si>
  <si>
    <t>Cardinals3-5-0</t>
  </si>
  <si>
    <r>
      <t>o53.5</t>
    </r>
    <r>
      <rPr>
        <sz val="8"/>
        <color rgb="FF747887"/>
        <rFont val="Arial"/>
        <family val="2"/>
      </rPr>
      <t>-115</t>
    </r>
  </si>
  <si>
    <t>Cowboys3-5-1</t>
  </si>
  <si>
    <r>
      <t>u53.5</t>
    </r>
    <r>
      <rPr>
        <sz val="8"/>
        <color rgb="FF747887"/>
        <rFont val="Arial"/>
        <family val="2"/>
      </rPr>
      <t>-105</t>
    </r>
  </si>
  <si>
    <t>FINAL 10/23 5:15PM</t>
  </si>
  <si>
    <t>Vikings3-4-0</t>
  </si>
  <si>
    <t>Chargers5-3-0</t>
  </si>
  <si>
    <t>FINAL 10/26 10:00AM</t>
  </si>
  <si>
    <t>Browns2-6-0</t>
  </si>
  <si>
    <t>Patriots6-2-0</t>
  </si>
  <si>
    <t>Jets1-7-0</t>
  </si>
  <si>
    <t>Bengals3-5-0</t>
  </si>
  <si>
    <t>Dolphins2-6-0</t>
  </si>
  <si>
    <t>Falcons3-4-0</t>
  </si>
  <si>
    <t>49ers5-3-0</t>
  </si>
  <si>
    <t>Texans3-4-0</t>
  </si>
  <si>
    <t>Giants2-6-0</t>
  </si>
  <si>
    <r>
      <t>o42.5</t>
    </r>
    <r>
      <rPr>
        <sz val="8"/>
        <color rgb="FF747887"/>
        <rFont val="Arial"/>
        <family val="2"/>
      </rPr>
      <t>-118</t>
    </r>
  </si>
  <si>
    <t>Eagles6-2-0</t>
  </si>
  <si>
    <r>
      <t>u42.5</t>
    </r>
    <r>
      <rPr>
        <sz val="8"/>
        <color rgb="FF747887"/>
        <rFont val="Arial"/>
        <family val="2"/>
      </rPr>
      <t>-102</t>
    </r>
  </si>
  <si>
    <t>Bears4-3-0</t>
  </si>
  <si>
    <t>Ravens2-5-0</t>
  </si>
  <si>
    <t>Bills5-2-0</t>
  </si>
  <si>
    <t>Panthers4-4-0</t>
  </si>
  <si>
    <t>FINAL 10/26 1:05PM</t>
  </si>
  <si>
    <t>Buccaneers6-2-0</t>
  </si>
  <si>
    <t>Saints1-7-0</t>
  </si>
  <si>
    <t>FINAL 10/26 1:25PM</t>
  </si>
  <si>
    <t>Cowboys3-4-1</t>
  </si>
  <si>
    <r>
      <t>o51.5</t>
    </r>
    <r>
      <rPr>
        <sz val="8"/>
        <color rgb="FF747887"/>
        <rFont val="Arial"/>
        <family val="2"/>
      </rPr>
      <t>-112</t>
    </r>
  </si>
  <si>
    <t>Broncos6-2-0</t>
  </si>
  <si>
    <r>
      <t>u51.5</t>
    </r>
    <r>
      <rPr>
        <sz val="8"/>
        <color rgb="FF747887"/>
        <rFont val="Arial"/>
        <family val="2"/>
      </rPr>
      <t>-108</t>
    </r>
  </si>
  <si>
    <t>Titans1-7-0</t>
  </si>
  <si>
    <t>Colts7-1-0</t>
  </si>
  <si>
    <t>FINAL 10/26 5:20PM</t>
  </si>
  <si>
    <t>Packers5-1-1</t>
  </si>
  <si>
    <r>
      <t>o46.5</t>
    </r>
    <r>
      <rPr>
        <sz val="8"/>
        <color rgb="FF747887"/>
        <rFont val="Arial"/>
        <family val="2"/>
      </rPr>
      <t>-105</t>
    </r>
  </si>
  <si>
    <t>Steelers4-3-0</t>
  </si>
  <si>
    <r>
      <t>u45.5</t>
    </r>
    <r>
      <rPr>
        <sz val="8"/>
        <color rgb="FF747887"/>
        <rFont val="Arial"/>
        <family val="2"/>
      </rPr>
      <t>even</t>
    </r>
  </si>
  <si>
    <t>FINAL 10/27 5:15PM</t>
  </si>
  <si>
    <t>Commanders3-5-0</t>
  </si>
  <si>
    <t>Chiefs5-3-0</t>
  </si>
  <si>
    <t>FINAL 10/16 5:15PM</t>
  </si>
  <si>
    <t>Steelers4-2-0</t>
  </si>
  <si>
    <r>
      <t>o45.5</t>
    </r>
    <r>
      <rPr>
        <sz val="8"/>
        <color rgb="FF747887"/>
        <rFont val="Arial"/>
        <family val="2"/>
      </rPr>
      <t>-102</t>
    </r>
  </si>
  <si>
    <t>Bengals3-4-0</t>
  </si>
  <si>
    <r>
      <t>u45.5</t>
    </r>
    <r>
      <rPr>
        <sz val="8"/>
        <color rgb="FF747887"/>
        <rFont val="Arial"/>
        <family val="2"/>
      </rPr>
      <t>-118</t>
    </r>
  </si>
  <si>
    <t>FINAL 10/19 6:30AM</t>
  </si>
  <si>
    <t>Rams5-2-0</t>
  </si>
  <si>
    <t>Jaguars4-3-0</t>
  </si>
  <si>
    <t>FINAL 10/19 10:00AM</t>
  </si>
  <si>
    <t>Saints1-6-0</t>
  </si>
  <si>
    <t>Bears4-2-0</t>
  </si>
  <si>
    <t>Panthers4-3-0</t>
  </si>
  <si>
    <r>
      <t>o39.5</t>
    </r>
    <r>
      <rPr>
        <sz val="8"/>
        <color rgb="FF747887"/>
        <rFont val="Arial"/>
        <family val="2"/>
      </rPr>
      <t>-118</t>
    </r>
  </si>
  <si>
    <t>Jets0-7-0</t>
  </si>
  <si>
    <r>
      <t>u39.5</t>
    </r>
    <r>
      <rPr>
        <sz val="8"/>
        <color rgb="FF747887"/>
        <rFont val="Arial"/>
        <family val="2"/>
      </rPr>
      <t>-102</t>
    </r>
  </si>
  <si>
    <t>Eagles5-2-0</t>
  </si>
  <si>
    <r>
      <t>o43.5</t>
    </r>
    <r>
      <rPr>
        <sz val="8"/>
        <color rgb="FF747887"/>
        <rFont val="Arial"/>
        <family val="2"/>
      </rPr>
      <t>-120</t>
    </r>
  </si>
  <si>
    <t>Vikings3-3-0</t>
  </si>
  <si>
    <t>Dolphins1-6-0</t>
  </si>
  <si>
    <t>Browns2-5-0</t>
  </si>
  <si>
    <t>Patriots5-2-0</t>
  </si>
  <si>
    <t>Titans1-6-0</t>
  </si>
  <si>
    <t>Raiders2-5-0</t>
  </si>
  <si>
    <r>
      <t>o44.5</t>
    </r>
    <r>
      <rPr>
        <sz val="8"/>
        <color rgb="FF747887"/>
        <rFont val="Arial"/>
        <family val="2"/>
      </rPr>
      <t>even</t>
    </r>
  </si>
  <si>
    <t>Chiefs4-3-0</t>
  </si>
  <si>
    <r>
      <t>u44.5</t>
    </r>
    <r>
      <rPr>
        <sz val="8"/>
        <color rgb="FF747887"/>
        <rFont val="Arial"/>
        <family val="2"/>
      </rPr>
      <t>-120</t>
    </r>
  </si>
  <si>
    <t>FINAL 10/19 1:05PM</t>
  </si>
  <si>
    <t>Giants2-5-0</t>
  </si>
  <si>
    <t>Broncos5-2-0</t>
  </si>
  <si>
    <t>Colts6-1-0</t>
  </si>
  <si>
    <t>Chargers4-3-0</t>
  </si>
  <si>
    <t>FINAL 10/19 1:25PM</t>
  </si>
  <si>
    <t>Commanders3-4-0</t>
  </si>
  <si>
    <r>
      <t>o55.5</t>
    </r>
    <r>
      <rPr>
        <sz val="8"/>
        <color rgb="FF747887"/>
        <rFont val="Arial"/>
        <family val="2"/>
      </rPr>
      <t>-108</t>
    </r>
  </si>
  <si>
    <t>Cowboys3-3-1</t>
  </si>
  <si>
    <r>
      <t>u55.5</t>
    </r>
    <r>
      <rPr>
        <sz val="8"/>
        <color rgb="FF747887"/>
        <rFont val="Arial"/>
        <family val="2"/>
      </rPr>
      <t>-112</t>
    </r>
  </si>
  <si>
    <t>Packers4-1-1</t>
  </si>
  <si>
    <t>Cardinals2-5-0</t>
  </si>
  <si>
    <t>FINAL 10/19 5:20PM</t>
  </si>
  <si>
    <t>Falcons3-3-0</t>
  </si>
  <si>
    <t>49ers5-2-0</t>
  </si>
  <si>
    <t>FINAL 10/20 4:00PM</t>
  </si>
  <si>
    <t>Buccaneers5-2-0</t>
  </si>
  <si>
    <r>
      <t>o54.5</t>
    </r>
    <r>
      <rPr>
        <sz val="8"/>
        <color rgb="FF747887"/>
        <rFont val="Arial"/>
        <family val="2"/>
      </rPr>
      <t>-105</t>
    </r>
  </si>
  <si>
    <t>Lions5-2-0</t>
  </si>
  <si>
    <r>
      <t>u54.5</t>
    </r>
    <r>
      <rPr>
        <sz val="8"/>
        <color rgb="FF747887"/>
        <rFont val="Arial"/>
        <family val="2"/>
      </rPr>
      <t>-115</t>
    </r>
  </si>
  <si>
    <t>Monday Night Football ABC/ESPN</t>
  </si>
  <si>
    <t>FINAL 10/20 7:00PM</t>
  </si>
  <si>
    <t>Texans2-4-0</t>
  </si>
  <si>
    <t>Seahawks5-2-0</t>
  </si>
  <si>
    <t>FINAL 10/9 5:15PM</t>
  </si>
  <si>
    <t>Eagles4-2-0</t>
  </si>
  <si>
    <t>Giants2-4-0</t>
  </si>
  <si>
    <t>FINAL 10/12 6:30AM</t>
  </si>
  <si>
    <t>Broncos4-2-0</t>
  </si>
  <si>
    <t>Jets0-6-0</t>
  </si>
  <si>
    <t>FINAL 10/12 10:00AM</t>
  </si>
  <si>
    <t>Seahawks4-2-0</t>
  </si>
  <si>
    <t>Jaguars4-2-0</t>
  </si>
  <si>
    <t>Cardinals2-4-0</t>
  </si>
  <si>
    <r>
      <t>u46.5</t>
    </r>
    <r>
      <rPr>
        <sz val="8"/>
        <color rgb="FF747887"/>
        <rFont val="Arial"/>
        <family val="2"/>
      </rPr>
      <t>-120</t>
    </r>
  </si>
  <si>
    <r>
      <t>o46.5</t>
    </r>
    <r>
      <rPr>
        <sz val="8"/>
        <color rgb="FF747887"/>
        <rFont val="Arial"/>
        <family val="2"/>
      </rPr>
      <t>+102</t>
    </r>
  </si>
  <si>
    <t>Colts5-1-0</t>
  </si>
  <si>
    <t>Browns1-5-0</t>
  </si>
  <si>
    <t>Steelers4-1-0</t>
  </si>
  <si>
    <t>Rams4-2-0</t>
  </si>
  <si>
    <t>Ravens1-5-0</t>
  </si>
  <si>
    <t>Cowboys2-3-1</t>
  </si>
  <si>
    <t>Panthers3-3-0</t>
  </si>
  <si>
    <t>Patriots4-2-0</t>
  </si>
  <si>
    <r>
      <t>o45.5</t>
    </r>
    <r>
      <rPr>
        <sz val="8"/>
        <color rgb="FF747887"/>
        <rFont val="Arial"/>
        <family val="2"/>
      </rPr>
      <t>-118</t>
    </r>
  </si>
  <si>
    <t>Saints1-5-0</t>
  </si>
  <si>
    <r>
      <t>u45.5</t>
    </r>
    <r>
      <rPr>
        <sz val="8"/>
        <color rgb="FF747887"/>
        <rFont val="Arial"/>
        <family val="2"/>
      </rPr>
      <t>-102</t>
    </r>
  </si>
  <si>
    <t>Chargers4-2-0</t>
  </si>
  <si>
    <t>Dolphins1-5-0</t>
  </si>
  <si>
    <r>
      <t>u45.5</t>
    </r>
    <r>
      <rPr>
        <sz val="8"/>
        <color rgb="FF747887"/>
        <rFont val="Arial"/>
        <family val="2"/>
      </rPr>
      <t>-120</t>
    </r>
  </si>
  <si>
    <t>FINAL 10/12 1:05PM</t>
  </si>
  <si>
    <t>Titans1-5-0</t>
  </si>
  <si>
    <t>Raiders2-4-0</t>
  </si>
  <si>
    <t>FINAL 10/12 1:25PM</t>
  </si>
  <si>
    <t>49ers4-2-0</t>
  </si>
  <si>
    <r>
      <t>o46.5</t>
    </r>
    <r>
      <rPr>
        <sz val="8"/>
        <color rgb="FF747887"/>
        <rFont val="Arial"/>
        <family val="2"/>
      </rPr>
      <t>-120</t>
    </r>
  </si>
  <si>
    <t>Buccaneers5-1-0</t>
  </si>
  <si>
    <t>Bengals2-4-0</t>
  </si>
  <si>
    <t>Packers3-1-1</t>
  </si>
  <si>
    <t>FINAL 10/12 5:20PM</t>
  </si>
  <si>
    <t>Lions4-2-0</t>
  </si>
  <si>
    <t>Chiefs3-3-0</t>
  </si>
  <si>
    <t>Sunday Night Football NBC</t>
  </si>
  <si>
    <t>FINAL 10/13 4:15PM</t>
  </si>
  <si>
    <t>Bills4-2-0</t>
  </si>
  <si>
    <r>
      <t>o49.5</t>
    </r>
    <r>
      <rPr>
        <sz val="8"/>
        <color rgb="FF747887"/>
        <rFont val="Arial"/>
        <family val="2"/>
      </rPr>
      <t>-118</t>
    </r>
  </si>
  <si>
    <t>Falcons3-2-0</t>
  </si>
  <si>
    <t>Monday Night Football ESPN</t>
  </si>
  <si>
    <t>FINAL 10/13 5:15PM</t>
  </si>
  <si>
    <t>Bears3-2-0</t>
  </si>
  <si>
    <t>Commanders3-3-0</t>
  </si>
  <si>
    <t>FINAL 10/2 5:15PM</t>
  </si>
  <si>
    <t>FINAL 10/5 6:30AM</t>
  </si>
  <si>
    <t>FINAL 10/5 10:00AM</t>
  </si>
  <si>
    <t>FINAL 10/5 1:05PM</t>
  </si>
  <si>
    <t>FINAL 10/5 1:25PM</t>
  </si>
  <si>
    <t>FINAL 10/5 5:20PM</t>
  </si>
  <si>
    <t>FINAL 10/6 5:15PM</t>
  </si>
  <si>
    <t>FINAL 9/25 5:15PM</t>
  </si>
  <si>
    <t>FINAL 9/28 6:30AM</t>
  </si>
  <si>
    <t>FINAL 9/28 10:00AM</t>
  </si>
  <si>
    <r>
      <t>u42.5</t>
    </r>
    <r>
      <rPr>
        <sz val="8"/>
        <color rgb="FF747887"/>
        <rFont val="Arial"/>
        <family val="2"/>
      </rPr>
      <t>-120</t>
    </r>
  </si>
  <si>
    <t>FINAL 9/28 1:05PM</t>
  </si>
  <si>
    <t>FINAL 9/28 1:25PM</t>
  </si>
  <si>
    <r>
      <t>o48.5</t>
    </r>
    <r>
      <rPr>
        <sz val="8"/>
        <color rgb="FF747887"/>
        <rFont val="Arial"/>
        <family val="2"/>
      </rPr>
      <t>-120</t>
    </r>
  </si>
  <si>
    <r>
      <t>u48.5</t>
    </r>
    <r>
      <rPr>
        <sz val="8"/>
        <color rgb="FF747887"/>
        <rFont val="Arial"/>
        <family val="2"/>
      </rPr>
      <t>even</t>
    </r>
  </si>
  <si>
    <t>FINAL 9/28 5:20PM</t>
  </si>
  <si>
    <t>FINAL 9/29 4:15PM</t>
  </si>
  <si>
    <t>FINAL 9/29 5:15PM</t>
  </si>
  <si>
    <t>FINAL 9/18 5:15PM</t>
  </si>
  <si>
    <t>Dolphins0-3-0</t>
  </si>
  <si>
    <r>
      <t>o50.5</t>
    </r>
    <r>
      <rPr>
        <sz val="8"/>
        <color rgb="FF747887"/>
        <rFont val="Arial"/>
        <family val="2"/>
      </rPr>
      <t>-110</t>
    </r>
  </si>
  <si>
    <r>
      <t>o50.5</t>
    </r>
    <r>
      <rPr>
        <sz val="8"/>
        <color rgb="FF747887"/>
        <rFont val="Arial"/>
        <family val="2"/>
      </rPr>
      <t>-115</t>
    </r>
  </si>
  <si>
    <t>Bills3-0-0</t>
  </si>
  <si>
    <t>FINAL 9/21 10:00AM</t>
  </si>
  <si>
    <t>Jets0-3-0</t>
  </si>
  <si>
    <t>Buccaneers3-0-0</t>
  </si>
  <si>
    <t>Raiders1-2-0</t>
  </si>
  <si>
    <t>Commanders2-1-0</t>
  </si>
  <si>
    <t>Rams2-1-0</t>
  </si>
  <si>
    <t>Eagles3-0-0</t>
  </si>
  <si>
    <t>Steelers2-1-0</t>
  </si>
  <si>
    <t>Patriots1-2-0</t>
  </si>
  <si>
    <t>Packers2-1-0</t>
  </si>
  <si>
    <t>Browns1-2-0</t>
  </si>
  <si>
    <t>Falcons1-2-0</t>
  </si>
  <si>
    <t>Panthers1-2-0</t>
  </si>
  <si>
    <t>Colts3-0-0</t>
  </si>
  <si>
    <t>Titans0-3-0</t>
  </si>
  <si>
    <t>Texans0-3-0</t>
  </si>
  <si>
    <t>Jaguars2-1-0</t>
  </si>
  <si>
    <t>Bengals2-1-0</t>
  </si>
  <si>
    <t>Vikings2-1-0</t>
  </si>
  <si>
    <t>FINAL 9/21 1:05PM</t>
  </si>
  <si>
    <t>Saints0-3-0</t>
  </si>
  <si>
    <t>Seahawks2-1-0</t>
  </si>
  <si>
    <t>Broncos1-2-0</t>
  </si>
  <si>
    <t>Chargers3-0-0</t>
  </si>
  <si>
    <t>FINAL 9/21 1:25PM</t>
  </si>
  <si>
    <t>Cowboys1-2-0</t>
  </si>
  <si>
    <t>Bears1-2-0</t>
  </si>
  <si>
    <t>Cardinals2-1-0</t>
  </si>
  <si>
    <r>
      <t>o44.5</t>
    </r>
    <r>
      <rPr>
        <sz val="8"/>
        <color rgb="FF747887"/>
        <rFont val="Arial"/>
        <family val="2"/>
      </rPr>
      <t>-120</t>
    </r>
  </si>
  <si>
    <t>49ers3-0-0</t>
  </si>
  <si>
    <t>FINAL 9/21 5:20PM</t>
  </si>
  <si>
    <t>Chiefs1-2-0</t>
  </si>
  <si>
    <t>Giants0-3-0</t>
  </si>
  <si>
    <t>FINAL 9/22 5:15PM</t>
  </si>
  <si>
    <t>Lions2-1-0</t>
  </si>
  <si>
    <t>Ravens1-2-0</t>
  </si>
  <si>
    <t>FINAL 9/11 5:15PM</t>
  </si>
  <si>
    <t>Commanders1-1-0</t>
  </si>
  <si>
    <r>
      <t>o48.5</t>
    </r>
    <r>
      <rPr>
        <sz val="8"/>
        <color rgb="FF747887"/>
        <rFont val="Arial"/>
        <family val="2"/>
      </rPr>
      <t>-118</t>
    </r>
  </si>
  <si>
    <t>Packers2-0-0</t>
  </si>
  <si>
    <t>FINAL 9/14 10:00AM</t>
  </si>
  <si>
    <t>Jaguars1-1-0</t>
  </si>
  <si>
    <t>Bengals2-0-0</t>
  </si>
  <si>
    <t>49ers2-0-0</t>
  </si>
  <si>
    <t>Saints0-2-0</t>
  </si>
  <si>
    <t>Giants0-2-0</t>
  </si>
  <si>
    <r>
      <t>+4.5</t>
    </r>
    <r>
      <rPr>
        <sz val="8"/>
        <color rgb="FF747887"/>
        <rFont val="Arial"/>
        <family val="2"/>
      </rPr>
      <t>even</t>
    </r>
  </si>
  <si>
    <t>Cowboys1-1-0</t>
  </si>
  <si>
    <t>Bills2-0-0</t>
  </si>
  <si>
    <t>Jets0-2-0</t>
  </si>
  <si>
    <t>Bears0-2-0</t>
  </si>
  <si>
    <t>Lions1-1-0</t>
  </si>
  <si>
    <t>Browns0-2-0</t>
  </si>
  <si>
    <t>Ravens1-1-0</t>
  </si>
  <si>
    <t>Rams2-0-0</t>
  </si>
  <si>
    <t>Titans0-2-0</t>
  </si>
  <si>
    <t>Seahawks1-1-0</t>
  </si>
  <si>
    <t>Steelers1-1-0</t>
  </si>
  <si>
    <t>Patriots1-1-0</t>
  </si>
  <si>
    <t>Dolphins0-2-0</t>
  </si>
  <si>
    <t>FINAL 9/14 1:05PM</t>
  </si>
  <si>
    <t>Panthers0-2-0</t>
  </si>
  <si>
    <t>Cardinals2-0-0</t>
  </si>
  <si>
    <t>Broncos1-1-0</t>
  </si>
  <si>
    <t>Colts2-0-0</t>
  </si>
  <si>
    <t>FINAL 9/14 1:25PM</t>
  </si>
  <si>
    <t>Eagles2-0-0</t>
  </si>
  <si>
    <r>
      <t>o46.5</t>
    </r>
    <r>
      <rPr>
        <sz val="8"/>
        <color rgb="FF747887"/>
        <rFont val="Arial"/>
        <family val="2"/>
      </rPr>
      <t>-118</t>
    </r>
  </si>
  <si>
    <t>Chiefs0-2-0</t>
  </si>
  <si>
    <r>
      <t>u46.5</t>
    </r>
    <r>
      <rPr>
        <sz val="8"/>
        <color rgb="FF747887"/>
        <rFont val="Arial"/>
        <family val="2"/>
      </rPr>
      <t>-102</t>
    </r>
  </si>
  <si>
    <t>FINAL 9/14 5:20PM</t>
  </si>
  <si>
    <t>Falcons1-1-0</t>
  </si>
  <si>
    <t>Vikings1-1-0</t>
  </si>
  <si>
    <t>FINAL 9/15 4:00PM</t>
  </si>
  <si>
    <t>Buccaneers2-0-0</t>
  </si>
  <si>
    <t>Texans0-2-0</t>
  </si>
  <si>
    <t>FINAL 9/15 7:00PM</t>
  </si>
  <si>
    <t>Chargers2-0-0</t>
  </si>
  <si>
    <t>Raiders1-1-0</t>
  </si>
  <si>
    <t>FINAL 9/4 5:20PM</t>
  </si>
  <si>
    <t>FINAL 9/5 5:00PM</t>
  </si>
  <si>
    <t>FINAL 9/7 10:00AM</t>
  </si>
  <si>
    <r>
      <t>o47.5</t>
    </r>
    <r>
      <rPr>
        <sz val="8"/>
        <color rgb="FF747887"/>
        <rFont val="Arial"/>
        <family val="2"/>
      </rPr>
      <t>even</t>
    </r>
  </si>
  <si>
    <r>
      <t>u47.5</t>
    </r>
    <r>
      <rPr>
        <sz val="8"/>
        <color rgb="FF747887"/>
        <rFont val="Arial"/>
        <family val="2"/>
      </rPr>
      <t>-120</t>
    </r>
  </si>
  <si>
    <t>FINAL 9/7 1:05PM</t>
  </si>
  <si>
    <t>FINAL 9/7 1:25PM</t>
  </si>
  <si>
    <t>FINAL 9/7 5:20PM</t>
  </si>
  <si>
    <r>
      <t>o51.5</t>
    </r>
    <r>
      <rPr>
        <sz val="8"/>
        <color rgb="FF747887"/>
        <rFont val="Arial"/>
        <family val="2"/>
      </rPr>
      <t>-120</t>
    </r>
  </si>
  <si>
    <r>
      <t>u51.5</t>
    </r>
    <r>
      <rPr>
        <sz val="8"/>
        <color rgb="FF747887"/>
        <rFont val="Arial"/>
        <family val="2"/>
      </rPr>
      <t>even</t>
    </r>
  </si>
  <si>
    <t>FINAL 9/8 5:15PM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</si>
</sst>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rgb="FF113660"/>
      <name val="Verdana"/>
      <family val="2"/>
    </font>
    <font>
      <sz val="10"/>
      <color rgb="FF333333"/>
      <name val="Arial"/>
      <family val="2"/>
    </font>
    <font>
      <b/>
      <sz val="8"/>
      <color rgb="FFFEFEFE"/>
      <name val="Arial"/>
      <family val="2"/>
    </font>
    <font>
      <sz val="9"/>
      <color rgb="FF555555"/>
      <name val="Arial"/>
      <family val="2"/>
    </font>
    <font>
      <b/>
      <sz val="8"/>
      <color rgb="FF747887"/>
      <name val="Arial"/>
      <family val="2"/>
    </font>
    <font>
      <b/>
      <sz val="12"/>
      <color rgb="FFAEAEAE"/>
      <name val="Arial"/>
      <family val="2"/>
    </font>
    <font>
      <sz val="8"/>
      <color rgb="FF747887"/>
      <name val="Arial"/>
      <family val="2"/>
    </font>
    <font>
      <b/>
      <sz val="10"/>
      <color rgb="FF2064FA"/>
      <name val="Arial"/>
      <family val="2"/>
    </font>
    <font>
      <b/>
      <sz val="10"/>
      <color rgb="FFAEAEAE"/>
      <name val="Arial"/>
      <family val="2"/>
    </font>
    <font>
      <b/>
      <sz val="12"/>
      <color rgb="FF2064FA"/>
      <name val="Arial"/>
      <family val="2"/>
    </font>
    <font>
      <sz val="9"/>
      <color rgb="FFFEFEFE"/>
      <name val="Arial"/>
      <family val="2"/>
    </font>
    <font>
      <b/>
      <sz val="9"/>
      <color rgb="FFFFFFFF"/>
      <name val="Arial"/>
      <family val="2"/>
    </font>
    <font>
      <u/>
      <sz val="11"/>
      <color theme="10"/>
      <name val="Aptos Narrow"/>
      <family val="2"/>
      <scheme val="minor"/>
    </font>
    <font>
      <b/>
      <sz val="8"/>
      <color rgb="FF333333"/>
      <name val="Arial"/>
      <family val="2"/>
    </font>
    <font>
      <b/>
      <sz val="10"/>
      <color rgb="FF747887"/>
      <name val="Arial"/>
      <family val="2"/>
    </font>
    <font>
      <b/>
      <sz val="12"/>
      <color rgb="FF74788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EFEFE"/>
        <bgColor indexed="64"/>
      </patternFill>
    </fill>
    <fill>
      <patternFill patternType="solid">
        <fgColor rgb="FF113660"/>
        <bgColor indexed="64"/>
      </patternFill>
    </fill>
    <fill>
      <patternFill patternType="solid">
        <fgColor rgb="FFF4F4F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E5E5E5"/>
      </top>
      <bottom/>
      <diagonal/>
    </border>
    <border>
      <left/>
      <right/>
      <top style="medium">
        <color rgb="FFCCCCCC"/>
      </top>
      <bottom/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13" fillId="0" borderId="0" xfId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indent="1"/>
    </xf>
    <xf numFmtId="0" fontId="13" fillId="2" borderId="0" xfId="1" applyFill="1" applyAlignment="1">
      <alignment horizontal="left" vertical="center" indent="1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 indent="1"/>
    </xf>
    <xf numFmtId="0" fontId="13" fillId="4" borderId="0" xfId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12" fillId="0" borderId="0" xfId="0" applyFont="1" applyAlignment="1">
      <alignment vertical="center"/>
    </xf>
    <xf numFmtId="0" fontId="10" fillId="2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4" fillId="0" borderId="3" xfId="0" applyFont="1" applyBorder="1" applyAlignment="1">
      <alignment horizontal="left" vertical="center" wrapText="1" indent="1"/>
    </xf>
    <xf numFmtId="0" fontId="15" fillId="2" borderId="0" xfId="0" applyFont="1" applyFill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6" fillId="2" borderId="2" xfId="0" applyFont="1" applyFill="1" applyBorder="1" applyAlignment="1">
      <alignment horizontal="center" vertical="center"/>
    </xf>
    <xf numFmtId="0" fontId="16" fillId="4" borderId="0" xfId="0" applyFont="1" applyFill="1" applyAlignment="1">
      <alignment horizontal="center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13" Type="http://schemas.openxmlformats.org/officeDocument/2006/relationships/image" Target="../media/image20.png"/><Relationship Id="rId18" Type="http://schemas.openxmlformats.org/officeDocument/2006/relationships/image" Target="../media/image15.png"/><Relationship Id="rId26" Type="http://schemas.openxmlformats.org/officeDocument/2006/relationships/image" Target="../media/image3.png"/><Relationship Id="rId3" Type="http://schemas.openxmlformats.org/officeDocument/2006/relationships/image" Target="../media/image8.png"/><Relationship Id="rId21" Type="http://schemas.openxmlformats.org/officeDocument/2006/relationships/image" Target="../media/image7.png"/><Relationship Id="rId7" Type="http://schemas.openxmlformats.org/officeDocument/2006/relationships/image" Target="../media/image5.png"/><Relationship Id="rId12" Type="http://schemas.openxmlformats.org/officeDocument/2006/relationships/image" Target="../media/image25.png"/><Relationship Id="rId17" Type="http://schemas.openxmlformats.org/officeDocument/2006/relationships/image" Target="../media/image22.png"/><Relationship Id="rId25" Type="http://schemas.openxmlformats.org/officeDocument/2006/relationships/image" Target="../media/image2.png"/><Relationship Id="rId2" Type="http://schemas.openxmlformats.org/officeDocument/2006/relationships/image" Target="../media/image26.png"/><Relationship Id="rId16" Type="http://schemas.openxmlformats.org/officeDocument/2006/relationships/image" Target="../media/image23.png"/><Relationship Id="rId20" Type="http://schemas.openxmlformats.org/officeDocument/2006/relationships/image" Target="../media/image9.png"/><Relationship Id="rId29" Type="http://schemas.openxmlformats.org/officeDocument/2006/relationships/image" Target="../media/image11.png"/><Relationship Id="rId1" Type="http://schemas.openxmlformats.org/officeDocument/2006/relationships/image" Target="../media/image6.png"/><Relationship Id="rId6" Type="http://schemas.openxmlformats.org/officeDocument/2006/relationships/image" Target="../media/image14.png"/><Relationship Id="rId11" Type="http://schemas.openxmlformats.org/officeDocument/2006/relationships/image" Target="../media/image32.png"/><Relationship Id="rId24" Type="http://schemas.openxmlformats.org/officeDocument/2006/relationships/image" Target="../media/image10.png"/><Relationship Id="rId32" Type="http://schemas.openxmlformats.org/officeDocument/2006/relationships/image" Target="../media/image17.png"/><Relationship Id="rId5" Type="http://schemas.openxmlformats.org/officeDocument/2006/relationships/image" Target="../media/image21.png"/><Relationship Id="rId15" Type="http://schemas.openxmlformats.org/officeDocument/2006/relationships/image" Target="../media/image28.png"/><Relationship Id="rId23" Type="http://schemas.openxmlformats.org/officeDocument/2006/relationships/image" Target="../media/image24.png"/><Relationship Id="rId28" Type="http://schemas.openxmlformats.org/officeDocument/2006/relationships/image" Target="../media/image31.png"/><Relationship Id="rId10" Type="http://schemas.openxmlformats.org/officeDocument/2006/relationships/image" Target="../media/image16.png"/><Relationship Id="rId19" Type="http://schemas.openxmlformats.org/officeDocument/2006/relationships/image" Target="../media/image18.png"/><Relationship Id="rId31" Type="http://schemas.openxmlformats.org/officeDocument/2006/relationships/image" Target="../media/image4.png"/><Relationship Id="rId4" Type="http://schemas.openxmlformats.org/officeDocument/2006/relationships/image" Target="../media/image19.png"/><Relationship Id="rId9" Type="http://schemas.openxmlformats.org/officeDocument/2006/relationships/image" Target="../media/image30.png"/><Relationship Id="rId14" Type="http://schemas.openxmlformats.org/officeDocument/2006/relationships/image" Target="../media/image29.png"/><Relationship Id="rId22" Type="http://schemas.openxmlformats.org/officeDocument/2006/relationships/image" Target="../media/image13.png"/><Relationship Id="rId27" Type="http://schemas.openxmlformats.org/officeDocument/2006/relationships/image" Target="../media/image12.png"/><Relationship Id="rId30" Type="http://schemas.openxmlformats.org/officeDocument/2006/relationships/image" Target="../media/image2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12.png"/><Relationship Id="rId18" Type="http://schemas.openxmlformats.org/officeDocument/2006/relationships/image" Target="../media/image8.png"/><Relationship Id="rId26" Type="http://schemas.openxmlformats.org/officeDocument/2006/relationships/image" Target="../media/image32.png"/><Relationship Id="rId3" Type="http://schemas.openxmlformats.org/officeDocument/2006/relationships/image" Target="../media/image16.png"/><Relationship Id="rId21" Type="http://schemas.openxmlformats.org/officeDocument/2006/relationships/image" Target="../media/image14.png"/><Relationship Id="rId7" Type="http://schemas.openxmlformats.org/officeDocument/2006/relationships/image" Target="../media/image28.png"/><Relationship Id="rId12" Type="http://schemas.openxmlformats.org/officeDocument/2006/relationships/image" Target="../media/image20.png"/><Relationship Id="rId17" Type="http://schemas.openxmlformats.org/officeDocument/2006/relationships/image" Target="../media/image27.png"/><Relationship Id="rId25" Type="http://schemas.openxmlformats.org/officeDocument/2006/relationships/image" Target="../media/image1.png"/><Relationship Id="rId2" Type="http://schemas.openxmlformats.org/officeDocument/2006/relationships/image" Target="../media/image30.png"/><Relationship Id="rId16" Type="http://schemas.openxmlformats.org/officeDocument/2006/relationships/image" Target="../media/image23.png"/><Relationship Id="rId20" Type="http://schemas.openxmlformats.org/officeDocument/2006/relationships/image" Target="../media/image31.png"/><Relationship Id="rId29" Type="http://schemas.openxmlformats.org/officeDocument/2006/relationships/image" Target="../media/image3.png"/><Relationship Id="rId1" Type="http://schemas.openxmlformats.org/officeDocument/2006/relationships/image" Target="../media/image9.png"/><Relationship Id="rId6" Type="http://schemas.openxmlformats.org/officeDocument/2006/relationships/image" Target="../media/image6.png"/><Relationship Id="rId11" Type="http://schemas.openxmlformats.org/officeDocument/2006/relationships/image" Target="../media/image26.png"/><Relationship Id="rId24" Type="http://schemas.openxmlformats.org/officeDocument/2006/relationships/image" Target="../media/image4.png"/><Relationship Id="rId32" Type="http://schemas.openxmlformats.org/officeDocument/2006/relationships/image" Target="../media/image29.png"/><Relationship Id="rId5" Type="http://schemas.openxmlformats.org/officeDocument/2006/relationships/image" Target="../media/image17.png"/><Relationship Id="rId15" Type="http://schemas.openxmlformats.org/officeDocument/2006/relationships/image" Target="../media/image10.png"/><Relationship Id="rId23" Type="http://schemas.openxmlformats.org/officeDocument/2006/relationships/image" Target="../media/image24.png"/><Relationship Id="rId28" Type="http://schemas.openxmlformats.org/officeDocument/2006/relationships/image" Target="../media/image21.png"/><Relationship Id="rId10" Type="http://schemas.openxmlformats.org/officeDocument/2006/relationships/image" Target="../media/image18.png"/><Relationship Id="rId19" Type="http://schemas.openxmlformats.org/officeDocument/2006/relationships/image" Target="../media/image19.png"/><Relationship Id="rId31" Type="http://schemas.openxmlformats.org/officeDocument/2006/relationships/image" Target="../media/image25.png"/><Relationship Id="rId4" Type="http://schemas.openxmlformats.org/officeDocument/2006/relationships/image" Target="../media/image11.png"/><Relationship Id="rId9" Type="http://schemas.openxmlformats.org/officeDocument/2006/relationships/image" Target="../media/image15.png"/><Relationship Id="rId14" Type="http://schemas.openxmlformats.org/officeDocument/2006/relationships/image" Target="../media/image7.png"/><Relationship Id="rId22" Type="http://schemas.openxmlformats.org/officeDocument/2006/relationships/image" Target="../media/image22.png"/><Relationship Id="rId27" Type="http://schemas.openxmlformats.org/officeDocument/2006/relationships/image" Target="../media/image13.png"/><Relationship Id="rId30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13" Type="http://schemas.openxmlformats.org/officeDocument/2006/relationships/image" Target="../media/image7.png"/><Relationship Id="rId18" Type="http://schemas.openxmlformats.org/officeDocument/2006/relationships/image" Target="../media/image25.png"/><Relationship Id="rId26" Type="http://schemas.openxmlformats.org/officeDocument/2006/relationships/image" Target="../media/image3.png"/><Relationship Id="rId3" Type="http://schemas.openxmlformats.org/officeDocument/2006/relationships/image" Target="../media/image31.png"/><Relationship Id="rId21" Type="http://schemas.openxmlformats.org/officeDocument/2006/relationships/image" Target="../media/image10.png"/><Relationship Id="rId7" Type="http://schemas.openxmlformats.org/officeDocument/2006/relationships/image" Target="../media/image2.png"/><Relationship Id="rId12" Type="http://schemas.openxmlformats.org/officeDocument/2006/relationships/image" Target="../media/image27.png"/><Relationship Id="rId17" Type="http://schemas.openxmlformats.org/officeDocument/2006/relationships/image" Target="../media/image20.png"/><Relationship Id="rId25" Type="http://schemas.openxmlformats.org/officeDocument/2006/relationships/image" Target="../media/image29.png"/><Relationship Id="rId2" Type="http://schemas.openxmlformats.org/officeDocument/2006/relationships/image" Target="../media/image13.png"/><Relationship Id="rId16" Type="http://schemas.openxmlformats.org/officeDocument/2006/relationships/image" Target="../media/image5.png"/><Relationship Id="rId20" Type="http://schemas.openxmlformats.org/officeDocument/2006/relationships/image" Target="../media/image21.png"/><Relationship Id="rId29" Type="http://schemas.openxmlformats.org/officeDocument/2006/relationships/image" Target="../media/image16.png"/><Relationship Id="rId1" Type="http://schemas.openxmlformats.org/officeDocument/2006/relationships/image" Target="../media/image22.png"/><Relationship Id="rId6" Type="http://schemas.openxmlformats.org/officeDocument/2006/relationships/image" Target="../media/image12.png"/><Relationship Id="rId11" Type="http://schemas.openxmlformats.org/officeDocument/2006/relationships/image" Target="../media/image23.png"/><Relationship Id="rId24" Type="http://schemas.openxmlformats.org/officeDocument/2006/relationships/image" Target="../media/image17.png"/><Relationship Id="rId32" Type="http://schemas.openxmlformats.org/officeDocument/2006/relationships/image" Target="../media/image24.png"/><Relationship Id="rId5" Type="http://schemas.openxmlformats.org/officeDocument/2006/relationships/image" Target="../media/image6.png"/><Relationship Id="rId15" Type="http://schemas.openxmlformats.org/officeDocument/2006/relationships/image" Target="../media/image4.png"/><Relationship Id="rId23" Type="http://schemas.openxmlformats.org/officeDocument/2006/relationships/image" Target="../media/image32.png"/><Relationship Id="rId28" Type="http://schemas.openxmlformats.org/officeDocument/2006/relationships/image" Target="../media/image1.png"/><Relationship Id="rId10" Type="http://schemas.openxmlformats.org/officeDocument/2006/relationships/image" Target="../media/image30.png"/><Relationship Id="rId19" Type="http://schemas.openxmlformats.org/officeDocument/2006/relationships/image" Target="../media/image8.png"/><Relationship Id="rId31" Type="http://schemas.openxmlformats.org/officeDocument/2006/relationships/image" Target="../media/image19.png"/><Relationship Id="rId4" Type="http://schemas.openxmlformats.org/officeDocument/2006/relationships/image" Target="../media/image15.png"/><Relationship Id="rId9" Type="http://schemas.openxmlformats.org/officeDocument/2006/relationships/image" Target="../media/image14.png"/><Relationship Id="rId14" Type="http://schemas.openxmlformats.org/officeDocument/2006/relationships/image" Target="../media/image18.png"/><Relationship Id="rId22" Type="http://schemas.openxmlformats.org/officeDocument/2006/relationships/image" Target="../media/image28.png"/><Relationship Id="rId27" Type="http://schemas.openxmlformats.org/officeDocument/2006/relationships/image" Target="../media/image26.png"/><Relationship Id="rId30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13" Type="http://schemas.openxmlformats.org/officeDocument/2006/relationships/image" Target="../media/image24.png"/><Relationship Id="rId18" Type="http://schemas.openxmlformats.org/officeDocument/2006/relationships/image" Target="../media/image22.png"/><Relationship Id="rId26" Type="http://schemas.openxmlformats.org/officeDocument/2006/relationships/image" Target="../media/image30.png"/><Relationship Id="rId3" Type="http://schemas.openxmlformats.org/officeDocument/2006/relationships/image" Target="../media/image31.png"/><Relationship Id="rId21" Type="http://schemas.openxmlformats.org/officeDocument/2006/relationships/image" Target="../media/image25.png"/><Relationship Id="rId7" Type="http://schemas.openxmlformats.org/officeDocument/2006/relationships/image" Target="../media/image27.png"/><Relationship Id="rId12" Type="http://schemas.openxmlformats.org/officeDocument/2006/relationships/image" Target="../media/image10.png"/><Relationship Id="rId17" Type="http://schemas.openxmlformats.org/officeDocument/2006/relationships/image" Target="../media/image11.png"/><Relationship Id="rId25" Type="http://schemas.openxmlformats.org/officeDocument/2006/relationships/image" Target="../media/image18.png"/><Relationship Id="rId2" Type="http://schemas.openxmlformats.org/officeDocument/2006/relationships/image" Target="../media/image28.png"/><Relationship Id="rId16" Type="http://schemas.openxmlformats.org/officeDocument/2006/relationships/image" Target="../media/image7.png"/><Relationship Id="rId20" Type="http://schemas.openxmlformats.org/officeDocument/2006/relationships/image" Target="../media/image13.png"/><Relationship Id="rId1" Type="http://schemas.openxmlformats.org/officeDocument/2006/relationships/image" Target="../media/image21.png"/><Relationship Id="rId6" Type="http://schemas.openxmlformats.org/officeDocument/2006/relationships/image" Target="../media/image14.png"/><Relationship Id="rId11" Type="http://schemas.openxmlformats.org/officeDocument/2006/relationships/image" Target="../media/image17.png"/><Relationship Id="rId24" Type="http://schemas.openxmlformats.org/officeDocument/2006/relationships/image" Target="../media/image4.png"/><Relationship Id="rId5" Type="http://schemas.openxmlformats.org/officeDocument/2006/relationships/image" Target="../media/image5.png"/><Relationship Id="rId15" Type="http://schemas.openxmlformats.org/officeDocument/2006/relationships/image" Target="../media/image9.png"/><Relationship Id="rId23" Type="http://schemas.openxmlformats.org/officeDocument/2006/relationships/image" Target="../media/image6.png"/><Relationship Id="rId28" Type="http://schemas.openxmlformats.org/officeDocument/2006/relationships/image" Target="../media/image8.png"/><Relationship Id="rId10" Type="http://schemas.openxmlformats.org/officeDocument/2006/relationships/image" Target="../media/image16.png"/><Relationship Id="rId19" Type="http://schemas.openxmlformats.org/officeDocument/2006/relationships/image" Target="../media/image23.png"/><Relationship Id="rId4" Type="http://schemas.openxmlformats.org/officeDocument/2006/relationships/image" Target="../media/image20.png"/><Relationship Id="rId9" Type="http://schemas.openxmlformats.org/officeDocument/2006/relationships/image" Target="../media/image1.png"/><Relationship Id="rId14" Type="http://schemas.openxmlformats.org/officeDocument/2006/relationships/image" Target="../media/image2.png"/><Relationship Id="rId22" Type="http://schemas.openxmlformats.org/officeDocument/2006/relationships/image" Target="../media/image19.png"/><Relationship Id="rId27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.png"/><Relationship Id="rId18" Type="http://schemas.openxmlformats.org/officeDocument/2006/relationships/image" Target="../media/image9.png"/><Relationship Id="rId26" Type="http://schemas.openxmlformats.org/officeDocument/2006/relationships/image" Target="../media/image3.png"/><Relationship Id="rId3" Type="http://schemas.openxmlformats.org/officeDocument/2006/relationships/image" Target="../media/image24.png"/><Relationship Id="rId21" Type="http://schemas.openxmlformats.org/officeDocument/2006/relationships/image" Target="../media/image21.png"/><Relationship Id="rId7" Type="http://schemas.openxmlformats.org/officeDocument/2006/relationships/image" Target="../media/image13.png"/><Relationship Id="rId12" Type="http://schemas.openxmlformats.org/officeDocument/2006/relationships/image" Target="../media/image29.png"/><Relationship Id="rId17" Type="http://schemas.openxmlformats.org/officeDocument/2006/relationships/image" Target="../media/image4.png"/><Relationship Id="rId25" Type="http://schemas.openxmlformats.org/officeDocument/2006/relationships/image" Target="../media/image25.png"/><Relationship Id="rId2" Type="http://schemas.openxmlformats.org/officeDocument/2006/relationships/image" Target="../media/image5.png"/><Relationship Id="rId16" Type="http://schemas.openxmlformats.org/officeDocument/2006/relationships/image" Target="../media/image14.png"/><Relationship Id="rId20" Type="http://schemas.openxmlformats.org/officeDocument/2006/relationships/image" Target="../media/image17.png"/><Relationship Id="rId29" Type="http://schemas.openxmlformats.org/officeDocument/2006/relationships/image" Target="../media/image32.png"/><Relationship Id="rId1" Type="http://schemas.openxmlformats.org/officeDocument/2006/relationships/image" Target="../media/image2.png"/><Relationship Id="rId6" Type="http://schemas.openxmlformats.org/officeDocument/2006/relationships/image" Target="../media/image8.png"/><Relationship Id="rId11" Type="http://schemas.openxmlformats.org/officeDocument/2006/relationships/image" Target="../media/image28.png"/><Relationship Id="rId24" Type="http://schemas.openxmlformats.org/officeDocument/2006/relationships/image" Target="../media/image26.png"/><Relationship Id="rId5" Type="http://schemas.openxmlformats.org/officeDocument/2006/relationships/image" Target="../media/image22.png"/><Relationship Id="rId15" Type="http://schemas.openxmlformats.org/officeDocument/2006/relationships/image" Target="../media/image18.png"/><Relationship Id="rId23" Type="http://schemas.openxmlformats.org/officeDocument/2006/relationships/image" Target="../media/image19.png"/><Relationship Id="rId28" Type="http://schemas.openxmlformats.org/officeDocument/2006/relationships/image" Target="../media/image12.png"/><Relationship Id="rId10" Type="http://schemas.openxmlformats.org/officeDocument/2006/relationships/image" Target="../media/image15.png"/><Relationship Id="rId19" Type="http://schemas.openxmlformats.org/officeDocument/2006/relationships/image" Target="../media/image23.png"/><Relationship Id="rId4" Type="http://schemas.openxmlformats.org/officeDocument/2006/relationships/image" Target="../media/image16.png"/><Relationship Id="rId9" Type="http://schemas.openxmlformats.org/officeDocument/2006/relationships/image" Target="../media/image20.png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image" Target="../media/image30.png"/><Relationship Id="rId30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.png"/><Relationship Id="rId13" Type="http://schemas.openxmlformats.org/officeDocument/2006/relationships/image" Target="../media/image18.png"/><Relationship Id="rId18" Type="http://schemas.openxmlformats.org/officeDocument/2006/relationships/image" Target="../media/image24.png"/><Relationship Id="rId26" Type="http://schemas.openxmlformats.org/officeDocument/2006/relationships/image" Target="../media/image21.png"/><Relationship Id="rId3" Type="http://schemas.openxmlformats.org/officeDocument/2006/relationships/image" Target="../media/image28.png"/><Relationship Id="rId21" Type="http://schemas.openxmlformats.org/officeDocument/2006/relationships/image" Target="../media/image6.png"/><Relationship Id="rId7" Type="http://schemas.openxmlformats.org/officeDocument/2006/relationships/image" Target="../media/image7.png"/><Relationship Id="rId12" Type="http://schemas.openxmlformats.org/officeDocument/2006/relationships/image" Target="../media/image20.png"/><Relationship Id="rId17" Type="http://schemas.openxmlformats.org/officeDocument/2006/relationships/image" Target="../media/image5.png"/><Relationship Id="rId25" Type="http://schemas.openxmlformats.org/officeDocument/2006/relationships/image" Target="../media/image12.png"/><Relationship Id="rId2" Type="http://schemas.openxmlformats.org/officeDocument/2006/relationships/image" Target="../media/image19.png"/><Relationship Id="rId16" Type="http://schemas.openxmlformats.org/officeDocument/2006/relationships/image" Target="../media/image3.png"/><Relationship Id="rId20" Type="http://schemas.openxmlformats.org/officeDocument/2006/relationships/image" Target="../media/image4.png"/><Relationship Id="rId29" Type="http://schemas.openxmlformats.org/officeDocument/2006/relationships/image" Target="../media/image27.png"/><Relationship Id="rId1" Type="http://schemas.openxmlformats.org/officeDocument/2006/relationships/image" Target="../media/image15.png"/><Relationship Id="rId6" Type="http://schemas.openxmlformats.org/officeDocument/2006/relationships/image" Target="../media/image32.png"/><Relationship Id="rId11" Type="http://schemas.openxmlformats.org/officeDocument/2006/relationships/image" Target="../media/image9.png"/><Relationship Id="rId24" Type="http://schemas.openxmlformats.org/officeDocument/2006/relationships/image" Target="../media/image13.png"/><Relationship Id="rId5" Type="http://schemas.openxmlformats.org/officeDocument/2006/relationships/image" Target="../media/image14.png"/><Relationship Id="rId15" Type="http://schemas.openxmlformats.org/officeDocument/2006/relationships/image" Target="../media/image17.png"/><Relationship Id="rId23" Type="http://schemas.openxmlformats.org/officeDocument/2006/relationships/image" Target="../media/image26.png"/><Relationship Id="rId28" Type="http://schemas.openxmlformats.org/officeDocument/2006/relationships/image" Target="../media/image25.png"/><Relationship Id="rId10" Type="http://schemas.openxmlformats.org/officeDocument/2006/relationships/image" Target="../media/image31.png"/><Relationship Id="rId19" Type="http://schemas.openxmlformats.org/officeDocument/2006/relationships/image" Target="../media/image10.png"/><Relationship Id="rId4" Type="http://schemas.openxmlformats.org/officeDocument/2006/relationships/image" Target="../media/image8.png"/><Relationship Id="rId9" Type="http://schemas.openxmlformats.org/officeDocument/2006/relationships/image" Target="../media/image2.png"/><Relationship Id="rId14" Type="http://schemas.openxmlformats.org/officeDocument/2006/relationships/image" Target="../media/image23.png"/><Relationship Id="rId22" Type="http://schemas.openxmlformats.org/officeDocument/2006/relationships/image" Target="../media/image1.png"/><Relationship Id="rId27" Type="http://schemas.openxmlformats.org/officeDocument/2006/relationships/image" Target="../media/image11.png"/><Relationship Id="rId30" Type="http://schemas.openxmlformats.org/officeDocument/2006/relationships/image" Target="../media/image22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32.png"/><Relationship Id="rId18" Type="http://schemas.openxmlformats.org/officeDocument/2006/relationships/image" Target="../media/image14.png"/><Relationship Id="rId26" Type="http://schemas.openxmlformats.org/officeDocument/2006/relationships/image" Target="../media/image3.png"/><Relationship Id="rId3" Type="http://schemas.openxmlformats.org/officeDocument/2006/relationships/image" Target="../media/image20.png"/><Relationship Id="rId21" Type="http://schemas.openxmlformats.org/officeDocument/2006/relationships/image" Target="../media/image23.png"/><Relationship Id="rId7" Type="http://schemas.openxmlformats.org/officeDocument/2006/relationships/image" Target="../media/image9.png"/><Relationship Id="rId12" Type="http://schemas.openxmlformats.org/officeDocument/2006/relationships/image" Target="../media/image2.png"/><Relationship Id="rId17" Type="http://schemas.openxmlformats.org/officeDocument/2006/relationships/image" Target="../media/image11.png"/><Relationship Id="rId25" Type="http://schemas.openxmlformats.org/officeDocument/2006/relationships/image" Target="../media/image6.png"/><Relationship Id="rId2" Type="http://schemas.openxmlformats.org/officeDocument/2006/relationships/image" Target="../media/image4.png"/><Relationship Id="rId16" Type="http://schemas.openxmlformats.org/officeDocument/2006/relationships/image" Target="../media/image7.png"/><Relationship Id="rId20" Type="http://schemas.openxmlformats.org/officeDocument/2006/relationships/image" Target="../media/image24.png"/><Relationship Id="rId1" Type="http://schemas.openxmlformats.org/officeDocument/2006/relationships/image" Target="../media/image31.png"/><Relationship Id="rId6" Type="http://schemas.openxmlformats.org/officeDocument/2006/relationships/image" Target="../media/image19.png"/><Relationship Id="rId11" Type="http://schemas.openxmlformats.org/officeDocument/2006/relationships/image" Target="../media/image5.png"/><Relationship Id="rId24" Type="http://schemas.openxmlformats.org/officeDocument/2006/relationships/image" Target="../media/image15.png"/><Relationship Id="rId5" Type="http://schemas.openxmlformats.org/officeDocument/2006/relationships/image" Target="../media/image16.png"/><Relationship Id="rId15" Type="http://schemas.openxmlformats.org/officeDocument/2006/relationships/image" Target="../media/image30.png"/><Relationship Id="rId23" Type="http://schemas.openxmlformats.org/officeDocument/2006/relationships/image" Target="../media/image26.png"/><Relationship Id="rId10" Type="http://schemas.openxmlformats.org/officeDocument/2006/relationships/image" Target="../media/image27.png"/><Relationship Id="rId19" Type="http://schemas.openxmlformats.org/officeDocument/2006/relationships/image" Target="../media/image1.png"/><Relationship Id="rId4" Type="http://schemas.openxmlformats.org/officeDocument/2006/relationships/image" Target="../media/image18.png"/><Relationship Id="rId9" Type="http://schemas.openxmlformats.org/officeDocument/2006/relationships/image" Target="../media/image21.png"/><Relationship Id="rId14" Type="http://schemas.openxmlformats.org/officeDocument/2006/relationships/image" Target="../media/image29.png"/><Relationship Id="rId22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png"/><Relationship Id="rId13" Type="http://schemas.openxmlformats.org/officeDocument/2006/relationships/image" Target="../media/image31.png"/><Relationship Id="rId18" Type="http://schemas.openxmlformats.org/officeDocument/2006/relationships/image" Target="../media/image26.png"/><Relationship Id="rId26" Type="http://schemas.openxmlformats.org/officeDocument/2006/relationships/image" Target="../media/image6.png"/><Relationship Id="rId3" Type="http://schemas.openxmlformats.org/officeDocument/2006/relationships/image" Target="../media/image10.png"/><Relationship Id="rId21" Type="http://schemas.openxmlformats.org/officeDocument/2006/relationships/image" Target="../media/image14.png"/><Relationship Id="rId7" Type="http://schemas.openxmlformats.org/officeDocument/2006/relationships/image" Target="../media/image4.png"/><Relationship Id="rId12" Type="http://schemas.openxmlformats.org/officeDocument/2006/relationships/image" Target="../media/image18.png"/><Relationship Id="rId17" Type="http://schemas.openxmlformats.org/officeDocument/2006/relationships/image" Target="../media/image7.png"/><Relationship Id="rId25" Type="http://schemas.openxmlformats.org/officeDocument/2006/relationships/image" Target="../media/image22.png"/><Relationship Id="rId2" Type="http://schemas.openxmlformats.org/officeDocument/2006/relationships/image" Target="../media/image9.png"/><Relationship Id="rId16" Type="http://schemas.openxmlformats.org/officeDocument/2006/relationships/image" Target="../media/image5.png"/><Relationship Id="rId20" Type="http://schemas.openxmlformats.org/officeDocument/2006/relationships/image" Target="../media/image17.png"/><Relationship Id="rId1" Type="http://schemas.openxmlformats.org/officeDocument/2006/relationships/image" Target="../media/image29.png"/><Relationship Id="rId6" Type="http://schemas.openxmlformats.org/officeDocument/2006/relationships/image" Target="../media/image19.png"/><Relationship Id="rId11" Type="http://schemas.openxmlformats.org/officeDocument/2006/relationships/image" Target="../media/image12.png"/><Relationship Id="rId24" Type="http://schemas.openxmlformats.org/officeDocument/2006/relationships/image" Target="../media/image30.png"/><Relationship Id="rId5" Type="http://schemas.openxmlformats.org/officeDocument/2006/relationships/image" Target="../media/image32.png"/><Relationship Id="rId15" Type="http://schemas.openxmlformats.org/officeDocument/2006/relationships/image" Target="../media/image21.png"/><Relationship Id="rId23" Type="http://schemas.openxmlformats.org/officeDocument/2006/relationships/image" Target="../media/image3.png"/><Relationship Id="rId28" Type="http://schemas.openxmlformats.org/officeDocument/2006/relationships/image" Target="../media/image1.png"/><Relationship Id="rId10" Type="http://schemas.openxmlformats.org/officeDocument/2006/relationships/image" Target="../media/image27.png"/><Relationship Id="rId19" Type="http://schemas.openxmlformats.org/officeDocument/2006/relationships/image" Target="../media/image8.png"/><Relationship Id="rId4" Type="http://schemas.openxmlformats.org/officeDocument/2006/relationships/image" Target="../media/image15.png"/><Relationship Id="rId9" Type="http://schemas.openxmlformats.org/officeDocument/2006/relationships/image" Target="../media/image24.png"/><Relationship Id="rId14" Type="http://schemas.openxmlformats.org/officeDocument/2006/relationships/image" Target="../media/image25.png"/><Relationship Id="rId22" Type="http://schemas.openxmlformats.org/officeDocument/2006/relationships/image" Target="../media/image28.png"/><Relationship Id="rId27" Type="http://schemas.openxmlformats.org/officeDocument/2006/relationships/image" Target="../media/image13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8.png"/><Relationship Id="rId18" Type="http://schemas.openxmlformats.org/officeDocument/2006/relationships/image" Target="../media/image32.png"/><Relationship Id="rId26" Type="http://schemas.openxmlformats.org/officeDocument/2006/relationships/image" Target="../media/image4.png"/><Relationship Id="rId3" Type="http://schemas.openxmlformats.org/officeDocument/2006/relationships/image" Target="../media/image12.png"/><Relationship Id="rId21" Type="http://schemas.openxmlformats.org/officeDocument/2006/relationships/image" Target="../media/image25.png"/><Relationship Id="rId7" Type="http://schemas.openxmlformats.org/officeDocument/2006/relationships/image" Target="../media/image14.png"/><Relationship Id="rId12" Type="http://schemas.openxmlformats.org/officeDocument/2006/relationships/image" Target="../media/image11.png"/><Relationship Id="rId17" Type="http://schemas.openxmlformats.org/officeDocument/2006/relationships/image" Target="../media/image5.png"/><Relationship Id="rId25" Type="http://schemas.openxmlformats.org/officeDocument/2006/relationships/image" Target="../media/image15.png"/><Relationship Id="rId2" Type="http://schemas.openxmlformats.org/officeDocument/2006/relationships/image" Target="../media/image24.png"/><Relationship Id="rId16" Type="http://schemas.openxmlformats.org/officeDocument/2006/relationships/image" Target="../media/image16.png"/><Relationship Id="rId20" Type="http://schemas.openxmlformats.org/officeDocument/2006/relationships/image" Target="../media/image22.png"/><Relationship Id="rId1" Type="http://schemas.openxmlformats.org/officeDocument/2006/relationships/image" Target="../media/image17.png"/><Relationship Id="rId6" Type="http://schemas.openxmlformats.org/officeDocument/2006/relationships/image" Target="../media/image9.png"/><Relationship Id="rId11" Type="http://schemas.openxmlformats.org/officeDocument/2006/relationships/image" Target="../media/image18.png"/><Relationship Id="rId24" Type="http://schemas.openxmlformats.org/officeDocument/2006/relationships/image" Target="../media/image21.png"/><Relationship Id="rId5" Type="http://schemas.openxmlformats.org/officeDocument/2006/relationships/image" Target="../media/image30.png"/><Relationship Id="rId15" Type="http://schemas.openxmlformats.org/officeDocument/2006/relationships/image" Target="../media/image20.png"/><Relationship Id="rId23" Type="http://schemas.openxmlformats.org/officeDocument/2006/relationships/image" Target="../media/image28.png"/><Relationship Id="rId28" Type="http://schemas.openxmlformats.org/officeDocument/2006/relationships/image" Target="../media/image26.png"/><Relationship Id="rId10" Type="http://schemas.openxmlformats.org/officeDocument/2006/relationships/image" Target="../media/image31.png"/><Relationship Id="rId19" Type="http://schemas.openxmlformats.org/officeDocument/2006/relationships/image" Target="../media/image13.png"/><Relationship Id="rId4" Type="http://schemas.openxmlformats.org/officeDocument/2006/relationships/image" Target="../media/image10.png"/><Relationship Id="rId9" Type="http://schemas.openxmlformats.org/officeDocument/2006/relationships/image" Target="../media/image29.png"/><Relationship Id="rId14" Type="http://schemas.openxmlformats.org/officeDocument/2006/relationships/image" Target="../media/image27.png"/><Relationship Id="rId22" Type="http://schemas.openxmlformats.org/officeDocument/2006/relationships/image" Target="../media/image6.png"/><Relationship Id="rId27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26.png"/><Relationship Id="rId18" Type="http://schemas.openxmlformats.org/officeDocument/2006/relationships/image" Target="../media/image31.png"/><Relationship Id="rId26" Type="http://schemas.openxmlformats.org/officeDocument/2006/relationships/image" Target="../media/image24.png"/><Relationship Id="rId3" Type="http://schemas.openxmlformats.org/officeDocument/2006/relationships/image" Target="../media/image6.png"/><Relationship Id="rId21" Type="http://schemas.openxmlformats.org/officeDocument/2006/relationships/image" Target="../media/image22.png"/><Relationship Id="rId7" Type="http://schemas.openxmlformats.org/officeDocument/2006/relationships/image" Target="../media/image7.png"/><Relationship Id="rId12" Type="http://schemas.openxmlformats.org/officeDocument/2006/relationships/image" Target="../media/image8.png"/><Relationship Id="rId17" Type="http://schemas.openxmlformats.org/officeDocument/2006/relationships/image" Target="../media/image32.png"/><Relationship Id="rId25" Type="http://schemas.openxmlformats.org/officeDocument/2006/relationships/image" Target="../media/image3.png"/><Relationship Id="rId2" Type="http://schemas.openxmlformats.org/officeDocument/2006/relationships/image" Target="../media/image18.png"/><Relationship Id="rId16" Type="http://schemas.openxmlformats.org/officeDocument/2006/relationships/image" Target="../media/image30.png"/><Relationship Id="rId20" Type="http://schemas.openxmlformats.org/officeDocument/2006/relationships/image" Target="../media/image13.png"/><Relationship Id="rId29" Type="http://schemas.openxmlformats.org/officeDocument/2006/relationships/image" Target="../media/image1.png"/><Relationship Id="rId1" Type="http://schemas.openxmlformats.org/officeDocument/2006/relationships/image" Target="../media/image16.png"/><Relationship Id="rId6" Type="http://schemas.openxmlformats.org/officeDocument/2006/relationships/image" Target="../media/image23.png"/><Relationship Id="rId11" Type="http://schemas.openxmlformats.org/officeDocument/2006/relationships/image" Target="../media/image4.png"/><Relationship Id="rId24" Type="http://schemas.openxmlformats.org/officeDocument/2006/relationships/image" Target="../media/image20.png"/><Relationship Id="rId5" Type="http://schemas.openxmlformats.org/officeDocument/2006/relationships/image" Target="../media/image27.png"/><Relationship Id="rId15" Type="http://schemas.openxmlformats.org/officeDocument/2006/relationships/image" Target="../media/image11.png"/><Relationship Id="rId23" Type="http://schemas.openxmlformats.org/officeDocument/2006/relationships/image" Target="../media/image29.png"/><Relationship Id="rId28" Type="http://schemas.openxmlformats.org/officeDocument/2006/relationships/image" Target="../media/image2.png"/><Relationship Id="rId10" Type="http://schemas.openxmlformats.org/officeDocument/2006/relationships/image" Target="../media/image15.png"/><Relationship Id="rId19" Type="http://schemas.openxmlformats.org/officeDocument/2006/relationships/image" Target="../media/image21.png"/><Relationship Id="rId4" Type="http://schemas.openxmlformats.org/officeDocument/2006/relationships/image" Target="../media/image9.png"/><Relationship Id="rId9" Type="http://schemas.openxmlformats.org/officeDocument/2006/relationships/image" Target="../media/image19.png"/><Relationship Id="rId14" Type="http://schemas.openxmlformats.org/officeDocument/2006/relationships/image" Target="../media/image5.png"/><Relationship Id="rId22" Type="http://schemas.openxmlformats.org/officeDocument/2006/relationships/image" Target="../media/image28.png"/><Relationship Id="rId27" Type="http://schemas.openxmlformats.org/officeDocument/2006/relationships/image" Target="../media/image25.png"/><Relationship Id="rId30" Type="http://schemas.openxmlformats.org/officeDocument/2006/relationships/image" Target="../media/image17.pn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13" Type="http://schemas.openxmlformats.org/officeDocument/2006/relationships/image" Target="../media/image18.png"/><Relationship Id="rId18" Type="http://schemas.openxmlformats.org/officeDocument/2006/relationships/image" Target="../media/image17.png"/><Relationship Id="rId26" Type="http://schemas.openxmlformats.org/officeDocument/2006/relationships/image" Target="../media/image28.png"/><Relationship Id="rId3" Type="http://schemas.openxmlformats.org/officeDocument/2006/relationships/image" Target="../media/image22.png"/><Relationship Id="rId21" Type="http://schemas.openxmlformats.org/officeDocument/2006/relationships/image" Target="../media/image12.png"/><Relationship Id="rId7" Type="http://schemas.openxmlformats.org/officeDocument/2006/relationships/image" Target="../media/image31.png"/><Relationship Id="rId12" Type="http://schemas.openxmlformats.org/officeDocument/2006/relationships/image" Target="../media/image32.png"/><Relationship Id="rId17" Type="http://schemas.openxmlformats.org/officeDocument/2006/relationships/image" Target="../media/image20.png"/><Relationship Id="rId25" Type="http://schemas.openxmlformats.org/officeDocument/2006/relationships/image" Target="../media/image11.png"/><Relationship Id="rId2" Type="http://schemas.openxmlformats.org/officeDocument/2006/relationships/image" Target="../media/image27.png"/><Relationship Id="rId16" Type="http://schemas.openxmlformats.org/officeDocument/2006/relationships/image" Target="../media/image29.png"/><Relationship Id="rId20" Type="http://schemas.openxmlformats.org/officeDocument/2006/relationships/image" Target="../media/image13.png"/><Relationship Id="rId1" Type="http://schemas.openxmlformats.org/officeDocument/2006/relationships/image" Target="../media/image30.png"/><Relationship Id="rId6" Type="http://schemas.openxmlformats.org/officeDocument/2006/relationships/image" Target="../media/image25.png"/><Relationship Id="rId11" Type="http://schemas.openxmlformats.org/officeDocument/2006/relationships/image" Target="../media/image15.png"/><Relationship Id="rId24" Type="http://schemas.openxmlformats.org/officeDocument/2006/relationships/image" Target="../media/image1.png"/><Relationship Id="rId5" Type="http://schemas.openxmlformats.org/officeDocument/2006/relationships/image" Target="../media/image5.png"/><Relationship Id="rId15" Type="http://schemas.openxmlformats.org/officeDocument/2006/relationships/image" Target="../media/image16.png"/><Relationship Id="rId23" Type="http://schemas.openxmlformats.org/officeDocument/2006/relationships/image" Target="../media/image2.png"/><Relationship Id="rId28" Type="http://schemas.openxmlformats.org/officeDocument/2006/relationships/image" Target="../media/image21.png"/><Relationship Id="rId10" Type="http://schemas.openxmlformats.org/officeDocument/2006/relationships/image" Target="../media/image3.png"/><Relationship Id="rId19" Type="http://schemas.openxmlformats.org/officeDocument/2006/relationships/image" Target="../media/image8.png"/><Relationship Id="rId4" Type="http://schemas.openxmlformats.org/officeDocument/2006/relationships/image" Target="../media/image23.png"/><Relationship Id="rId9" Type="http://schemas.openxmlformats.org/officeDocument/2006/relationships/image" Target="../media/image10.png"/><Relationship Id="rId14" Type="http://schemas.openxmlformats.org/officeDocument/2006/relationships/image" Target="../media/image19.png"/><Relationship Id="rId22" Type="http://schemas.openxmlformats.org/officeDocument/2006/relationships/image" Target="../media/image14.png"/><Relationship Id="rId27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13" Type="http://schemas.openxmlformats.org/officeDocument/2006/relationships/image" Target="../media/image12.png"/><Relationship Id="rId18" Type="http://schemas.openxmlformats.org/officeDocument/2006/relationships/image" Target="../media/image23.png"/><Relationship Id="rId26" Type="http://schemas.openxmlformats.org/officeDocument/2006/relationships/image" Target="../media/image15.png"/><Relationship Id="rId3" Type="http://schemas.openxmlformats.org/officeDocument/2006/relationships/image" Target="../media/image3.png"/><Relationship Id="rId21" Type="http://schemas.openxmlformats.org/officeDocument/2006/relationships/image" Target="../media/image27.png"/><Relationship Id="rId7" Type="http://schemas.openxmlformats.org/officeDocument/2006/relationships/image" Target="../media/image32.png"/><Relationship Id="rId12" Type="http://schemas.openxmlformats.org/officeDocument/2006/relationships/image" Target="../media/image7.png"/><Relationship Id="rId17" Type="http://schemas.openxmlformats.org/officeDocument/2006/relationships/image" Target="../media/image8.png"/><Relationship Id="rId25" Type="http://schemas.openxmlformats.org/officeDocument/2006/relationships/image" Target="../media/image30.png"/><Relationship Id="rId2" Type="http://schemas.openxmlformats.org/officeDocument/2006/relationships/image" Target="../media/image25.png"/><Relationship Id="rId16" Type="http://schemas.openxmlformats.org/officeDocument/2006/relationships/image" Target="../media/image20.png"/><Relationship Id="rId20" Type="http://schemas.openxmlformats.org/officeDocument/2006/relationships/image" Target="../media/image11.png"/><Relationship Id="rId29" Type="http://schemas.openxmlformats.org/officeDocument/2006/relationships/image" Target="../media/image24.png"/><Relationship Id="rId1" Type="http://schemas.openxmlformats.org/officeDocument/2006/relationships/image" Target="../media/image26.png"/><Relationship Id="rId6" Type="http://schemas.openxmlformats.org/officeDocument/2006/relationships/image" Target="../media/image29.png"/><Relationship Id="rId11" Type="http://schemas.openxmlformats.org/officeDocument/2006/relationships/image" Target="../media/image28.png"/><Relationship Id="rId24" Type="http://schemas.openxmlformats.org/officeDocument/2006/relationships/image" Target="../media/image22.png"/><Relationship Id="rId32" Type="http://schemas.openxmlformats.org/officeDocument/2006/relationships/image" Target="../media/image18.png"/><Relationship Id="rId5" Type="http://schemas.openxmlformats.org/officeDocument/2006/relationships/image" Target="../media/image19.png"/><Relationship Id="rId15" Type="http://schemas.openxmlformats.org/officeDocument/2006/relationships/image" Target="../media/image21.png"/><Relationship Id="rId23" Type="http://schemas.openxmlformats.org/officeDocument/2006/relationships/image" Target="../media/image31.png"/><Relationship Id="rId28" Type="http://schemas.openxmlformats.org/officeDocument/2006/relationships/image" Target="../media/image4.png"/><Relationship Id="rId10" Type="http://schemas.openxmlformats.org/officeDocument/2006/relationships/image" Target="../media/image9.png"/><Relationship Id="rId19" Type="http://schemas.openxmlformats.org/officeDocument/2006/relationships/image" Target="../media/image13.png"/><Relationship Id="rId31" Type="http://schemas.openxmlformats.org/officeDocument/2006/relationships/image" Target="../media/image5.png"/><Relationship Id="rId4" Type="http://schemas.openxmlformats.org/officeDocument/2006/relationships/image" Target="../media/image1.png"/><Relationship Id="rId9" Type="http://schemas.openxmlformats.org/officeDocument/2006/relationships/image" Target="../media/image14.png"/><Relationship Id="rId14" Type="http://schemas.openxmlformats.org/officeDocument/2006/relationships/image" Target="../media/image16.png"/><Relationship Id="rId22" Type="http://schemas.openxmlformats.org/officeDocument/2006/relationships/image" Target="../media/image10.png"/><Relationship Id="rId27" Type="http://schemas.openxmlformats.org/officeDocument/2006/relationships/image" Target="../media/image17.png"/><Relationship Id="rId30" Type="http://schemas.openxmlformats.org/officeDocument/2006/relationships/image" Target="../media/image6.png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1.png"/><Relationship Id="rId13" Type="http://schemas.openxmlformats.org/officeDocument/2006/relationships/image" Target="../media/image15.png"/><Relationship Id="rId18" Type="http://schemas.openxmlformats.org/officeDocument/2006/relationships/image" Target="../media/image16.png"/><Relationship Id="rId26" Type="http://schemas.openxmlformats.org/officeDocument/2006/relationships/image" Target="../media/image3.png"/><Relationship Id="rId3" Type="http://schemas.openxmlformats.org/officeDocument/2006/relationships/image" Target="../media/image10.png"/><Relationship Id="rId21" Type="http://schemas.openxmlformats.org/officeDocument/2006/relationships/image" Target="../media/image28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17" Type="http://schemas.openxmlformats.org/officeDocument/2006/relationships/image" Target="../media/image9.png"/><Relationship Id="rId25" Type="http://schemas.openxmlformats.org/officeDocument/2006/relationships/image" Target="../media/image27.png"/><Relationship Id="rId2" Type="http://schemas.openxmlformats.org/officeDocument/2006/relationships/image" Target="../media/image25.png"/><Relationship Id="rId16" Type="http://schemas.openxmlformats.org/officeDocument/2006/relationships/image" Target="../media/image12.png"/><Relationship Id="rId20" Type="http://schemas.openxmlformats.org/officeDocument/2006/relationships/image" Target="../media/image17.png"/><Relationship Id="rId1" Type="http://schemas.openxmlformats.org/officeDocument/2006/relationships/image" Target="../media/image1.png"/><Relationship Id="rId6" Type="http://schemas.openxmlformats.org/officeDocument/2006/relationships/image" Target="../media/image20.png"/><Relationship Id="rId11" Type="http://schemas.openxmlformats.org/officeDocument/2006/relationships/image" Target="../media/image14.png"/><Relationship Id="rId24" Type="http://schemas.openxmlformats.org/officeDocument/2006/relationships/image" Target="../media/image26.png"/><Relationship Id="rId5" Type="http://schemas.openxmlformats.org/officeDocument/2006/relationships/image" Target="../media/image23.png"/><Relationship Id="rId15" Type="http://schemas.openxmlformats.org/officeDocument/2006/relationships/image" Target="../media/image22.png"/><Relationship Id="rId23" Type="http://schemas.openxmlformats.org/officeDocument/2006/relationships/image" Target="../media/image32.png"/><Relationship Id="rId28" Type="http://schemas.openxmlformats.org/officeDocument/2006/relationships/image" Target="../media/image4.png"/><Relationship Id="rId10" Type="http://schemas.openxmlformats.org/officeDocument/2006/relationships/image" Target="../media/image30.png"/><Relationship Id="rId19" Type="http://schemas.openxmlformats.org/officeDocument/2006/relationships/image" Target="../media/image24.png"/><Relationship Id="rId4" Type="http://schemas.openxmlformats.org/officeDocument/2006/relationships/image" Target="../media/image8.png"/><Relationship Id="rId9" Type="http://schemas.openxmlformats.org/officeDocument/2006/relationships/image" Target="../media/image19.png"/><Relationship Id="rId14" Type="http://schemas.openxmlformats.org/officeDocument/2006/relationships/image" Target="../media/image29.png"/><Relationship Id="rId22" Type="http://schemas.openxmlformats.org/officeDocument/2006/relationships/image" Target="../media/image13.png"/><Relationship Id="rId27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image" Target="../media/image30.png"/><Relationship Id="rId18" Type="http://schemas.openxmlformats.org/officeDocument/2006/relationships/image" Target="../media/image19.png"/><Relationship Id="rId26" Type="http://schemas.openxmlformats.org/officeDocument/2006/relationships/image" Target="../media/image24.png"/><Relationship Id="rId3" Type="http://schemas.openxmlformats.org/officeDocument/2006/relationships/image" Target="../media/image6.png"/><Relationship Id="rId21" Type="http://schemas.openxmlformats.org/officeDocument/2006/relationships/image" Target="../media/image10.png"/><Relationship Id="rId7" Type="http://schemas.openxmlformats.org/officeDocument/2006/relationships/image" Target="../media/image4.png"/><Relationship Id="rId12" Type="http://schemas.openxmlformats.org/officeDocument/2006/relationships/image" Target="../media/image2.png"/><Relationship Id="rId17" Type="http://schemas.openxmlformats.org/officeDocument/2006/relationships/image" Target="../media/image29.png"/><Relationship Id="rId25" Type="http://schemas.openxmlformats.org/officeDocument/2006/relationships/image" Target="../media/image26.png"/><Relationship Id="rId2" Type="http://schemas.openxmlformats.org/officeDocument/2006/relationships/image" Target="../media/image11.png"/><Relationship Id="rId16" Type="http://schemas.openxmlformats.org/officeDocument/2006/relationships/image" Target="../media/image27.png"/><Relationship Id="rId20" Type="http://schemas.openxmlformats.org/officeDocument/2006/relationships/image" Target="../media/image14.png"/><Relationship Id="rId29" Type="http://schemas.openxmlformats.org/officeDocument/2006/relationships/image" Target="../media/image31.png"/><Relationship Id="rId1" Type="http://schemas.openxmlformats.org/officeDocument/2006/relationships/image" Target="../media/image12.png"/><Relationship Id="rId6" Type="http://schemas.openxmlformats.org/officeDocument/2006/relationships/image" Target="../media/image32.png"/><Relationship Id="rId11" Type="http://schemas.openxmlformats.org/officeDocument/2006/relationships/image" Target="../media/image17.png"/><Relationship Id="rId24" Type="http://schemas.openxmlformats.org/officeDocument/2006/relationships/image" Target="../media/image28.png"/><Relationship Id="rId32" Type="http://schemas.openxmlformats.org/officeDocument/2006/relationships/image" Target="../media/image15.png"/><Relationship Id="rId5" Type="http://schemas.openxmlformats.org/officeDocument/2006/relationships/image" Target="../media/image20.png"/><Relationship Id="rId15" Type="http://schemas.openxmlformats.org/officeDocument/2006/relationships/image" Target="../media/image13.png"/><Relationship Id="rId23" Type="http://schemas.openxmlformats.org/officeDocument/2006/relationships/image" Target="../media/image25.png"/><Relationship Id="rId28" Type="http://schemas.openxmlformats.org/officeDocument/2006/relationships/image" Target="../media/image21.png"/><Relationship Id="rId10" Type="http://schemas.openxmlformats.org/officeDocument/2006/relationships/image" Target="../media/image8.png"/><Relationship Id="rId19" Type="http://schemas.openxmlformats.org/officeDocument/2006/relationships/image" Target="../media/image7.png"/><Relationship Id="rId31" Type="http://schemas.openxmlformats.org/officeDocument/2006/relationships/image" Target="../media/image9.png"/><Relationship Id="rId4" Type="http://schemas.openxmlformats.org/officeDocument/2006/relationships/image" Target="../media/image5.png"/><Relationship Id="rId9" Type="http://schemas.openxmlformats.org/officeDocument/2006/relationships/image" Target="../media/image16.png"/><Relationship Id="rId14" Type="http://schemas.openxmlformats.org/officeDocument/2006/relationships/image" Target="../media/image18.png"/><Relationship Id="rId22" Type="http://schemas.openxmlformats.org/officeDocument/2006/relationships/image" Target="../media/image22.png"/><Relationship Id="rId27" Type="http://schemas.openxmlformats.org/officeDocument/2006/relationships/image" Target="../media/image23.png"/><Relationship Id="rId30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3.png"/><Relationship Id="rId18" Type="http://schemas.openxmlformats.org/officeDocument/2006/relationships/image" Target="../media/image9.png"/><Relationship Id="rId26" Type="http://schemas.openxmlformats.org/officeDocument/2006/relationships/image" Target="../media/image27.png"/><Relationship Id="rId3" Type="http://schemas.openxmlformats.org/officeDocument/2006/relationships/image" Target="../media/image2.png"/><Relationship Id="rId21" Type="http://schemas.openxmlformats.org/officeDocument/2006/relationships/image" Target="../media/image12.png"/><Relationship Id="rId7" Type="http://schemas.openxmlformats.org/officeDocument/2006/relationships/image" Target="../media/image16.png"/><Relationship Id="rId12" Type="http://schemas.openxmlformats.org/officeDocument/2006/relationships/image" Target="../media/image7.png"/><Relationship Id="rId17" Type="http://schemas.openxmlformats.org/officeDocument/2006/relationships/image" Target="../media/image19.png"/><Relationship Id="rId25" Type="http://schemas.openxmlformats.org/officeDocument/2006/relationships/image" Target="../media/image17.png"/><Relationship Id="rId2" Type="http://schemas.openxmlformats.org/officeDocument/2006/relationships/image" Target="../media/image22.png"/><Relationship Id="rId16" Type="http://schemas.openxmlformats.org/officeDocument/2006/relationships/image" Target="../media/image5.png"/><Relationship Id="rId20" Type="http://schemas.openxmlformats.org/officeDocument/2006/relationships/image" Target="../media/image20.png"/><Relationship Id="rId29" Type="http://schemas.openxmlformats.org/officeDocument/2006/relationships/image" Target="../media/image18.png"/><Relationship Id="rId1" Type="http://schemas.openxmlformats.org/officeDocument/2006/relationships/image" Target="../media/image28.png"/><Relationship Id="rId6" Type="http://schemas.openxmlformats.org/officeDocument/2006/relationships/image" Target="../media/image32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10.png"/><Relationship Id="rId5" Type="http://schemas.openxmlformats.org/officeDocument/2006/relationships/image" Target="../media/image26.png"/><Relationship Id="rId15" Type="http://schemas.openxmlformats.org/officeDocument/2006/relationships/image" Target="../media/image31.png"/><Relationship Id="rId23" Type="http://schemas.openxmlformats.org/officeDocument/2006/relationships/image" Target="../media/image8.png"/><Relationship Id="rId28" Type="http://schemas.openxmlformats.org/officeDocument/2006/relationships/image" Target="../media/image25.png"/><Relationship Id="rId10" Type="http://schemas.openxmlformats.org/officeDocument/2006/relationships/image" Target="../media/image1.png"/><Relationship Id="rId19" Type="http://schemas.openxmlformats.org/officeDocument/2006/relationships/image" Target="../media/image30.png"/><Relationship Id="rId31" Type="http://schemas.openxmlformats.org/officeDocument/2006/relationships/image" Target="../media/image21.png"/><Relationship Id="rId4" Type="http://schemas.openxmlformats.org/officeDocument/2006/relationships/image" Target="../media/image6.png"/><Relationship Id="rId9" Type="http://schemas.openxmlformats.org/officeDocument/2006/relationships/image" Target="../media/image4.png"/><Relationship Id="rId14" Type="http://schemas.openxmlformats.org/officeDocument/2006/relationships/image" Target="../media/image23.png"/><Relationship Id="rId22" Type="http://schemas.openxmlformats.org/officeDocument/2006/relationships/image" Target="../media/image13.png"/><Relationship Id="rId27" Type="http://schemas.openxmlformats.org/officeDocument/2006/relationships/image" Target="../media/image15.png"/><Relationship Id="rId30" Type="http://schemas.openxmlformats.org/officeDocument/2006/relationships/image" Target="../media/image29.png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image" Target="../media/image15.png"/><Relationship Id="rId18" Type="http://schemas.openxmlformats.org/officeDocument/2006/relationships/image" Target="../media/image19.png"/><Relationship Id="rId26" Type="http://schemas.openxmlformats.org/officeDocument/2006/relationships/image" Target="../media/image17.png"/><Relationship Id="rId3" Type="http://schemas.openxmlformats.org/officeDocument/2006/relationships/image" Target="../media/image25.png"/><Relationship Id="rId21" Type="http://schemas.openxmlformats.org/officeDocument/2006/relationships/image" Target="../media/image22.png"/><Relationship Id="rId7" Type="http://schemas.openxmlformats.org/officeDocument/2006/relationships/image" Target="../media/image27.png"/><Relationship Id="rId12" Type="http://schemas.openxmlformats.org/officeDocument/2006/relationships/image" Target="../media/image16.png"/><Relationship Id="rId17" Type="http://schemas.openxmlformats.org/officeDocument/2006/relationships/image" Target="../media/image13.png"/><Relationship Id="rId25" Type="http://schemas.openxmlformats.org/officeDocument/2006/relationships/image" Target="../media/image5.png"/><Relationship Id="rId2" Type="http://schemas.openxmlformats.org/officeDocument/2006/relationships/image" Target="../media/image6.png"/><Relationship Id="rId16" Type="http://schemas.openxmlformats.org/officeDocument/2006/relationships/image" Target="../media/image10.png"/><Relationship Id="rId20" Type="http://schemas.openxmlformats.org/officeDocument/2006/relationships/image" Target="../media/image23.png"/><Relationship Id="rId29" Type="http://schemas.openxmlformats.org/officeDocument/2006/relationships/image" Target="../media/image32.png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11" Type="http://schemas.openxmlformats.org/officeDocument/2006/relationships/image" Target="../media/image18.png"/><Relationship Id="rId24" Type="http://schemas.openxmlformats.org/officeDocument/2006/relationships/image" Target="../media/image9.png"/><Relationship Id="rId32" Type="http://schemas.openxmlformats.org/officeDocument/2006/relationships/image" Target="../media/image12.png"/><Relationship Id="rId5" Type="http://schemas.openxmlformats.org/officeDocument/2006/relationships/image" Target="../media/image24.png"/><Relationship Id="rId15" Type="http://schemas.openxmlformats.org/officeDocument/2006/relationships/image" Target="../media/image8.png"/><Relationship Id="rId23" Type="http://schemas.openxmlformats.org/officeDocument/2006/relationships/image" Target="../media/image11.png"/><Relationship Id="rId28" Type="http://schemas.openxmlformats.org/officeDocument/2006/relationships/image" Target="../media/image30.png"/><Relationship Id="rId10" Type="http://schemas.openxmlformats.org/officeDocument/2006/relationships/image" Target="../media/image26.png"/><Relationship Id="rId19" Type="http://schemas.openxmlformats.org/officeDocument/2006/relationships/image" Target="../media/image14.png"/><Relationship Id="rId31" Type="http://schemas.openxmlformats.org/officeDocument/2006/relationships/image" Target="../media/image28.png"/><Relationship Id="rId4" Type="http://schemas.openxmlformats.org/officeDocument/2006/relationships/image" Target="../media/image31.png"/><Relationship Id="rId9" Type="http://schemas.openxmlformats.org/officeDocument/2006/relationships/image" Target="../media/image29.png"/><Relationship Id="rId14" Type="http://schemas.openxmlformats.org/officeDocument/2006/relationships/image" Target="../media/image20.png"/><Relationship Id="rId22" Type="http://schemas.openxmlformats.org/officeDocument/2006/relationships/image" Target="../media/image7.png"/><Relationship Id="rId27" Type="http://schemas.openxmlformats.org/officeDocument/2006/relationships/image" Target="../media/image2.png"/><Relationship Id="rId30" Type="http://schemas.openxmlformats.org/officeDocument/2006/relationships/image" Target="../media/image21.pn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.png"/><Relationship Id="rId13" Type="http://schemas.openxmlformats.org/officeDocument/2006/relationships/image" Target="../media/image23.png"/><Relationship Id="rId18" Type="http://schemas.openxmlformats.org/officeDocument/2006/relationships/image" Target="../media/image30.png"/><Relationship Id="rId26" Type="http://schemas.openxmlformats.org/officeDocument/2006/relationships/image" Target="../media/image2.png"/><Relationship Id="rId3" Type="http://schemas.openxmlformats.org/officeDocument/2006/relationships/image" Target="../media/image22.png"/><Relationship Id="rId21" Type="http://schemas.openxmlformats.org/officeDocument/2006/relationships/image" Target="../media/image3.png"/><Relationship Id="rId7" Type="http://schemas.openxmlformats.org/officeDocument/2006/relationships/image" Target="../media/image10.png"/><Relationship Id="rId12" Type="http://schemas.openxmlformats.org/officeDocument/2006/relationships/image" Target="../media/image5.png"/><Relationship Id="rId17" Type="http://schemas.openxmlformats.org/officeDocument/2006/relationships/image" Target="../media/image16.png"/><Relationship Id="rId25" Type="http://schemas.openxmlformats.org/officeDocument/2006/relationships/image" Target="../media/image6.png"/><Relationship Id="rId2" Type="http://schemas.openxmlformats.org/officeDocument/2006/relationships/image" Target="../media/image11.png"/><Relationship Id="rId16" Type="http://schemas.openxmlformats.org/officeDocument/2006/relationships/image" Target="../media/image31.png"/><Relationship Id="rId20" Type="http://schemas.openxmlformats.org/officeDocument/2006/relationships/image" Target="../media/image28.png"/><Relationship Id="rId29" Type="http://schemas.openxmlformats.org/officeDocument/2006/relationships/image" Target="../media/image9.png"/><Relationship Id="rId1" Type="http://schemas.openxmlformats.org/officeDocument/2006/relationships/image" Target="../media/image7.png"/><Relationship Id="rId6" Type="http://schemas.openxmlformats.org/officeDocument/2006/relationships/image" Target="../media/image19.png"/><Relationship Id="rId11" Type="http://schemas.openxmlformats.org/officeDocument/2006/relationships/image" Target="../media/image1.png"/><Relationship Id="rId24" Type="http://schemas.openxmlformats.org/officeDocument/2006/relationships/image" Target="../media/image24.png"/><Relationship Id="rId32" Type="http://schemas.openxmlformats.org/officeDocument/2006/relationships/image" Target="../media/image15.png"/><Relationship Id="rId5" Type="http://schemas.openxmlformats.org/officeDocument/2006/relationships/image" Target="../media/image20.png"/><Relationship Id="rId15" Type="http://schemas.openxmlformats.org/officeDocument/2006/relationships/image" Target="../media/image26.png"/><Relationship Id="rId23" Type="http://schemas.openxmlformats.org/officeDocument/2006/relationships/image" Target="../media/image4.png"/><Relationship Id="rId28" Type="http://schemas.openxmlformats.org/officeDocument/2006/relationships/image" Target="../media/image32.png"/><Relationship Id="rId10" Type="http://schemas.openxmlformats.org/officeDocument/2006/relationships/image" Target="../media/image12.png"/><Relationship Id="rId19" Type="http://schemas.openxmlformats.org/officeDocument/2006/relationships/image" Target="../media/image13.png"/><Relationship Id="rId31" Type="http://schemas.openxmlformats.org/officeDocument/2006/relationships/image" Target="../media/image29.png"/><Relationship Id="rId4" Type="http://schemas.openxmlformats.org/officeDocument/2006/relationships/image" Target="../media/image21.png"/><Relationship Id="rId9" Type="http://schemas.openxmlformats.org/officeDocument/2006/relationships/image" Target="../media/image14.png"/><Relationship Id="rId14" Type="http://schemas.openxmlformats.org/officeDocument/2006/relationships/image" Target="../media/image8.png"/><Relationship Id="rId22" Type="http://schemas.openxmlformats.org/officeDocument/2006/relationships/image" Target="../media/image17.png"/><Relationship Id="rId27" Type="http://schemas.openxmlformats.org/officeDocument/2006/relationships/image" Target="../media/image25.png"/><Relationship Id="rId30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952500</xdr:colOff>
      <xdr:row>12</xdr:row>
      <xdr:rowOff>381000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2355EA2-1B0D-026E-7458-7A11E92C3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952500</xdr:colOff>
      <xdr:row>14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0B1A863-76F7-17D8-A499-B3A053EF6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5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952500</xdr:colOff>
      <xdr:row>19</xdr:row>
      <xdr:rowOff>381000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744ACB7-AF98-BA00-F9D7-BCEA1577C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528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952500</xdr:colOff>
      <xdr:row>21</xdr:row>
      <xdr:rowOff>85725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7EB4179-2714-76B5-2BD6-4C02464E4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338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952500</xdr:colOff>
      <xdr:row>25</xdr:row>
      <xdr:rowOff>381000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18213508-459A-762A-453D-A1C0537BD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910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952500</xdr:colOff>
      <xdr:row>27</xdr:row>
      <xdr:rowOff>85725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8CF90625-6901-68C4-D063-733E11948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720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952500</xdr:colOff>
      <xdr:row>31</xdr:row>
      <xdr:rowOff>381000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642582F-9F51-BFE0-2818-366045D22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2293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952500</xdr:colOff>
      <xdr:row>33</xdr:row>
      <xdr:rowOff>85725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FFFA874-3C84-9D96-C30B-263286FD4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103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952500</xdr:colOff>
      <xdr:row>37</xdr:row>
      <xdr:rowOff>381000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128B89A-19CF-561E-9F7F-D5489F6D9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676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952500</xdr:colOff>
      <xdr:row>39</xdr:row>
      <xdr:rowOff>85725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0A0DCB0B-004C-46AC-0599-F66E97112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486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952500</xdr:colOff>
      <xdr:row>43</xdr:row>
      <xdr:rowOff>381000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CED0A88-34ED-5961-3563-C7518BD46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1059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952500</xdr:colOff>
      <xdr:row>45</xdr:row>
      <xdr:rowOff>85725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F4026F8-BBFF-70E9-E0A5-AB17B1935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4869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952500</xdr:colOff>
      <xdr:row>49</xdr:row>
      <xdr:rowOff>381000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B83CD25-6B33-0FD0-9ECF-30DE423F6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441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952500</xdr:colOff>
      <xdr:row>51</xdr:row>
      <xdr:rowOff>85725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FF2AD98-ABA6-E40B-F264-8C584C3D1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9251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952500</xdr:colOff>
      <xdr:row>55</xdr:row>
      <xdr:rowOff>381000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C6AE116-B134-2D5D-5917-973515930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9824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1905000</xdr:colOff>
      <xdr:row>61</xdr:row>
      <xdr:rowOff>276225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3B27EC73-0D3A-0AFC-B604-2DB5EE75C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6345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952500</xdr:colOff>
      <xdr:row>61</xdr:row>
      <xdr:rowOff>381000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18E8F80-9D15-4E70-39EF-53785010E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4207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952500</xdr:colOff>
      <xdr:row>63</xdr:row>
      <xdr:rowOff>85725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263FC56-A57E-7134-E901-A8C3C7CE8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8017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952500</xdr:colOff>
      <xdr:row>67</xdr:row>
      <xdr:rowOff>381000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FFF29050-F0A9-F392-7581-B4638578B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59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1905000</xdr:colOff>
      <xdr:row>73</xdr:row>
      <xdr:rowOff>276225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CEE3C841-D8A4-803B-90CF-2E447AE80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4000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952500</xdr:colOff>
      <xdr:row>73</xdr:row>
      <xdr:rowOff>381000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E38720D-DEF4-463F-5A37-213DC33C6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297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952500</xdr:colOff>
      <xdr:row>75</xdr:row>
      <xdr:rowOff>85725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3872716C-1CC7-F4B0-EFEE-DCB7DA2B7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78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952500</xdr:colOff>
      <xdr:row>79</xdr:row>
      <xdr:rowOff>381000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494E5D93-B8BC-4DD5-217A-FB46A502E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7355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952500</xdr:colOff>
      <xdr:row>81</xdr:row>
      <xdr:rowOff>85725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C7F5FFE3-AD93-46C1-3BD8-0857821E1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1165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952500</xdr:colOff>
      <xdr:row>85</xdr:row>
      <xdr:rowOff>381000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9755E1FB-FC63-412C-9F61-7162631D0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173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952500</xdr:colOff>
      <xdr:row>87</xdr:row>
      <xdr:rowOff>85725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7D363218-CD80-26EF-EC8E-42EDBE020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554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952500</xdr:colOff>
      <xdr:row>91</xdr:row>
      <xdr:rowOff>381000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A2627363-53C8-CBA5-2D38-F574A8745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6121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952500</xdr:colOff>
      <xdr:row>93</xdr:row>
      <xdr:rowOff>85725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C0CB70B6-9933-F373-82BD-ACCBD9B73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931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952500</xdr:colOff>
      <xdr:row>97</xdr:row>
      <xdr:rowOff>381000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762A8492-029A-775A-080D-16CFD2901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0503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952500</xdr:colOff>
      <xdr:row>98</xdr:row>
      <xdr:rowOff>276225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397955A1-89CA-28C0-F3B1-E7B2F1DAC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4313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952500</xdr:colOff>
      <xdr:row>106</xdr:row>
      <xdr:rowOff>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1863E424-CDC9-5B4E-E058-8314B3EED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125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1905000</xdr:colOff>
      <xdr:row>113</xdr:row>
      <xdr:rowOff>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7A6D33AA-EAB3-383B-C6DF-1FACC4495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59355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952500</xdr:colOff>
      <xdr:row>14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AFDBB5B-87EC-F16B-B6CB-DB83B1531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952500</xdr:colOff>
      <xdr:row>18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6A7833C-1467-11C1-ED52-EDB2F17F4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5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952500</xdr:colOff>
      <xdr:row>28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BDD96C1-C9FD-3DBA-2654-FD2DAEFF8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2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952500</xdr:colOff>
      <xdr:row>32</xdr:row>
      <xdr:rowOff>190500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47557ED-9ED2-AC83-4E15-BA631A8C1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50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952500</xdr:colOff>
      <xdr:row>40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1494E7C-C9B4-8029-3239-2A8C2077F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38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952500</xdr:colOff>
      <xdr:row>44</xdr:row>
      <xdr:rowOff>190500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283C1904-C1AC-5C65-1159-79ED99C3D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63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952500</xdr:colOff>
      <xdr:row>52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E3CD90B-6660-445D-84B5-2B3D3A0C4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25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952500</xdr:colOff>
      <xdr:row>56</xdr:row>
      <xdr:rowOff>190500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48A9D8B-44D7-C3CD-B666-5AAD542FF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776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952500</xdr:colOff>
      <xdr:row>64</xdr:row>
      <xdr:rowOff>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0E2A596-F98E-D5BA-F5DC-A67006ED8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6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1905000</xdr:colOff>
      <xdr:row>72</xdr:row>
      <xdr:rowOff>85725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3551D6B-B382-45B2-030E-248097A05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5890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1905000</xdr:colOff>
      <xdr:row>80</xdr:row>
      <xdr:rowOff>190500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841C73D-EE45-9CDE-EE2F-0B76C5566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8767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952500</xdr:colOff>
      <xdr:row>80</xdr:row>
      <xdr:rowOff>190500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0780C0B-9A83-F73A-5465-83855AD2D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01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1905000</xdr:colOff>
      <xdr:row>92</xdr:row>
      <xdr:rowOff>190500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B9E46B8D-6F4B-F494-B6B8-B30F6B92D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6895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952500</xdr:colOff>
      <xdr:row>92</xdr:row>
      <xdr:rowOff>190500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0878537-CBB9-2403-F141-0ADAC2579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214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952500</xdr:colOff>
      <xdr:row>100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5C108F64-9861-C3C7-7DBF-446518AA2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50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952500</xdr:colOff>
      <xdr:row>104</xdr:row>
      <xdr:rowOff>190500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01180F1-E30D-9910-1D2E-7EBA56C111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027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952500</xdr:colOff>
      <xdr:row>112</xdr:row>
      <xdr:rowOff>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6674973-E68D-638E-082C-03ABD4854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952500</xdr:colOff>
      <xdr:row>116</xdr:row>
      <xdr:rowOff>190500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591A5425-5519-2F58-65AC-F39D1E830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952500</xdr:colOff>
      <xdr:row>124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FD9B5E1C-3FF2-042C-E369-7F4D5DE9C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12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952500</xdr:colOff>
      <xdr:row>128</xdr:row>
      <xdr:rowOff>190500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298D582D-B980-B497-2D2D-C4BAD59BB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65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952500</xdr:colOff>
      <xdr:row>136</xdr:row>
      <xdr:rowOff>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24DBD14-9FF7-4EA7-F5D2-FE2469272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94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952500</xdr:colOff>
      <xdr:row>140</xdr:row>
      <xdr:rowOff>190500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4A2EB700-01A5-8923-201C-9BDF6CB14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65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952500</xdr:colOff>
      <xdr:row>148</xdr:row>
      <xdr:rowOff>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64D607B-45CD-494B-A3FE-77553FF80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75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952500</xdr:colOff>
      <xdr:row>152</xdr:row>
      <xdr:rowOff>190500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B7BFF01-FFA6-0284-B293-DC66B07A8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27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952500</xdr:colOff>
      <xdr:row>160</xdr:row>
      <xdr:rowOff>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5463B8BB-1FBC-933F-D9A3-F4FE31F80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56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952500</xdr:colOff>
      <xdr:row>164</xdr:row>
      <xdr:rowOff>190500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5EAEBA4-2158-0690-38C2-215EC93A0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091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952500</xdr:colOff>
      <xdr:row>172</xdr:row>
      <xdr:rowOff>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9FD0B302-9D49-C6DA-B5E5-55E338CE4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378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952500</xdr:colOff>
      <xdr:row>176</xdr:row>
      <xdr:rowOff>190500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CB1B4312-F0C9-1071-4E8F-EA33631FF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903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180</xdr:row>
      <xdr:rowOff>0</xdr:rowOff>
    </xdr:from>
    <xdr:to>
      <xdr:col>0</xdr:col>
      <xdr:colOff>952500</xdr:colOff>
      <xdr:row>185</xdr:row>
      <xdr:rowOff>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B206AD79-316B-96CB-B77B-D72E63974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5001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185</xdr:row>
      <xdr:rowOff>0</xdr:rowOff>
    </xdr:from>
    <xdr:to>
      <xdr:col>0</xdr:col>
      <xdr:colOff>952500</xdr:colOff>
      <xdr:row>189</xdr:row>
      <xdr:rowOff>190500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909BA0D-B2C5-FE48-60DC-BFEF52D8A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4526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193</xdr:row>
      <xdr:rowOff>0</xdr:rowOff>
    </xdr:from>
    <xdr:to>
      <xdr:col>0</xdr:col>
      <xdr:colOff>952500</xdr:colOff>
      <xdr:row>198</xdr:row>
      <xdr:rowOff>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98FEC071-D11F-840E-7763-9E5BA2483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6624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198</xdr:row>
      <xdr:rowOff>0</xdr:rowOff>
    </xdr:from>
    <xdr:to>
      <xdr:col>0</xdr:col>
      <xdr:colOff>952500</xdr:colOff>
      <xdr:row>203</xdr:row>
      <xdr:rowOff>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89AB9833-FC02-6C2A-C5C4-1E4EF6DBB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149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952500</xdr:colOff>
      <xdr:row>14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B2F6AC-570B-1FE3-E15E-27A1FB76D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952500</xdr:colOff>
      <xdr:row>18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0943BA-F8FA-434E-5659-A683ADEEE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5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1905000</xdr:colOff>
      <xdr:row>32</xdr:row>
      <xdr:rowOff>190500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AD3CF0C-7630-90D2-E2BE-5E553CDCC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257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952500</xdr:colOff>
      <xdr:row>32</xdr:row>
      <xdr:rowOff>190500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64AC2E0-9CE1-B6A8-A0F4-DA565FE2B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50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952500</xdr:colOff>
      <xdr:row>40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F67E441-D023-2CFE-E70C-00146FE08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38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952500</xdr:colOff>
      <xdr:row>44</xdr:row>
      <xdr:rowOff>190500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5DA3CD9-B741-FEBC-C4E3-DAEA0A66C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63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952500</xdr:colOff>
      <xdr:row>52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9DC8D07-AF9C-5BBA-E81F-62B1CE897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25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952500</xdr:colOff>
      <xdr:row>56</xdr:row>
      <xdr:rowOff>190500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719EDF5-7B71-E116-3A8A-5EEF8E410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776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952500</xdr:colOff>
      <xdr:row>64</xdr:row>
      <xdr:rowOff>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69DFB21-0609-7AFC-CD59-AF7174AAD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6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952500</xdr:colOff>
      <xdr:row>68</xdr:row>
      <xdr:rowOff>190500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57D6290-F434-8C8D-A9DB-BA2051A12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589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952500</xdr:colOff>
      <xdr:row>76</xdr:row>
      <xdr:rowOff>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2A2A26D9-6853-2E39-69CA-4F64B9755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876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1905000</xdr:colOff>
      <xdr:row>84</xdr:row>
      <xdr:rowOff>85725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793ED79-1113-22F1-DD3C-336A3A77E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017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952500</xdr:colOff>
      <xdr:row>88</xdr:row>
      <xdr:rowOff>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5E789A91-A0C9-062F-9933-F6AF54530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68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952500</xdr:colOff>
      <xdr:row>92</xdr:row>
      <xdr:rowOff>190500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17CC67A-A814-0CCE-04D2-46E14640F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214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952500</xdr:colOff>
      <xdr:row>100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B267D4D0-51C3-4DD6-DEBB-CCE190EE7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50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952500</xdr:colOff>
      <xdr:row>104</xdr:row>
      <xdr:rowOff>190500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54D50FEC-0568-49DF-9112-F26B153B4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027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952500</xdr:colOff>
      <xdr:row>112</xdr:row>
      <xdr:rowOff>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8893011-F7B1-6EED-8567-3DCA43F99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952500</xdr:colOff>
      <xdr:row>116</xdr:row>
      <xdr:rowOff>190500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97EE722-70F5-FA39-26B9-A4FF826D7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952500</xdr:colOff>
      <xdr:row>124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72317553-5744-9F4D-D426-827FABD4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12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952500</xdr:colOff>
      <xdr:row>128</xdr:row>
      <xdr:rowOff>190500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CE7A803-8DF3-EC4F-EBCE-DBD128270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65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952500</xdr:colOff>
      <xdr:row>136</xdr:row>
      <xdr:rowOff>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E5623BFA-2C6C-15C6-5C43-BDEDA42B5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94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952500</xdr:colOff>
      <xdr:row>140</xdr:row>
      <xdr:rowOff>190500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475707E-D89A-15B4-4AD3-F9BFCD211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65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952500</xdr:colOff>
      <xdr:row>148</xdr:row>
      <xdr:rowOff>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CABB81CC-0E73-13AB-1EDE-45C691D1C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75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952500</xdr:colOff>
      <xdr:row>152</xdr:row>
      <xdr:rowOff>190500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3FD7A554-C9F6-F976-5F7D-BFDCF07FA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27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952500</xdr:colOff>
      <xdr:row>160</xdr:row>
      <xdr:rowOff>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A82E0C14-1475-2FAA-E7B8-4D78CD54B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56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1905000</xdr:colOff>
      <xdr:row>168</xdr:row>
      <xdr:rowOff>85725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8C61940D-3398-B557-9456-3A33DCDC7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0910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952500</xdr:colOff>
      <xdr:row>172</xdr:row>
      <xdr:rowOff>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B66A0536-3FE4-14C3-C7CA-AE636FBD2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378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952500</xdr:colOff>
      <xdr:row>176</xdr:row>
      <xdr:rowOff>190500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6725E144-D4AE-B174-16CF-1EC11DEF5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903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952500</xdr:colOff>
      <xdr:row>184</xdr:row>
      <xdr:rowOff>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BFEDBDFC-9BC2-8BDC-F1D0-14BBAC112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191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952500</xdr:colOff>
      <xdr:row>188</xdr:row>
      <xdr:rowOff>190500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9A3181E3-65B0-D823-2A69-C1B4B6ADC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716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952500</xdr:colOff>
      <xdr:row>197</xdr:row>
      <xdr:rowOff>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58A82CE9-6B5C-B003-4701-CD8A4195F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0814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952500</xdr:colOff>
      <xdr:row>202</xdr:row>
      <xdr:rowOff>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6B8048AA-C549-25C0-6AC5-0340A29A3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033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952500</xdr:colOff>
      <xdr:row>12</xdr:row>
      <xdr:rowOff>381000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2FA4F4-654D-49A4-019C-674F84CA5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952500</xdr:colOff>
      <xdr:row>13</xdr:row>
      <xdr:rowOff>276225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ADB4528-6A9E-B407-04EE-E429C9473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5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952500</xdr:colOff>
      <xdr:row>20</xdr:row>
      <xdr:rowOff>381000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FEA305A-4E8E-2129-8CFA-891AEFDE2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9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952500</xdr:colOff>
      <xdr:row>22</xdr:row>
      <xdr:rowOff>85725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278FAEE-3181-5890-05C2-29BBB0ED2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0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952500</xdr:colOff>
      <xdr:row>26</xdr:row>
      <xdr:rowOff>381000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BD53BFF-09A1-2CDA-A0A0-D30275FF1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78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952500</xdr:colOff>
      <xdr:row>28</xdr:row>
      <xdr:rowOff>85725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70EE114-CD61-07A1-835D-CF170EF3E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88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952500</xdr:colOff>
      <xdr:row>32</xdr:row>
      <xdr:rowOff>381000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74B2906-C228-3104-5325-07ADAADA2D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96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952500</xdr:colOff>
      <xdr:row>34</xdr:row>
      <xdr:rowOff>85725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735F045-3590-EA48-BD71-37E7049E6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77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952500</xdr:colOff>
      <xdr:row>38</xdr:row>
      <xdr:rowOff>381000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BD0BBCD-0A42-ABE1-A171-977FE96D9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34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952500</xdr:colOff>
      <xdr:row>40</xdr:row>
      <xdr:rowOff>85725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96A3D1B-1564-45EC-B088-907032781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5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952500</xdr:colOff>
      <xdr:row>44</xdr:row>
      <xdr:rowOff>381000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54534C05-36B8-18CE-2CDD-18371CDCB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726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952500</xdr:colOff>
      <xdr:row>46</xdr:row>
      <xdr:rowOff>85725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3372ED3-4955-43DF-0BFD-A50AE397F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536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952500</xdr:colOff>
      <xdr:row>50</xdr:row>
      <xdr:rowOff>381000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EE437A2-4E56-EA3B-9FB7-64C2D02EB7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10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952500</xdr:colOff>
      <xdr:row>52</xdr:row>
      <xdr:rowOff>85725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9A12BEB5-47DE-42C0-70E5-B3EBC7964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91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952500</xdr:colOff>
      <xdr:row>56</xdr:row>
      <xdr:rowOff>381000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7D1A7FFD-0988-3663-715D-B70B696EC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49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952500</xdr:colOff>
      <xdr:row>58</xdr:row>
      <xdr:rowOff>85725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397901C4-63BB-9BB6-AA44-395F361E6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30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1905000</xdr:colOff>
      <xdr:row>67</xdr:row>
      <xdr:rowOff>85725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3183ED0E-A717-1044-1F1F-67B35CBE4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0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952500</xdr:colOff>
      <xdr:row>64</xdr:row>
      <xdr:rowOff>85725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939BBC2-4E18-D088-6237-681AAF3F4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952500</xdr:colOff>
      <xdr:row>68</xdr:row>
      <xdr:rowOff>381000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56DA031-816C-CF57-9330-CAD71AD6E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25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952500</xdr:colOff>
      <xdr:row>70</xdr:row>
      <xdr:rowOff>85725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211C3F4-4B12-A2A4-7A18-BA483760C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06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952500</xdr:colOff>
      <xdr:row>74</xdr:row>
      <xdr:rowOff>381000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6C97E431-AB81-2380-05EA-C85BB9656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64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952500</xdr:colOff>
      <xdr:row>76</xdr:row>
      <xdr:rowOff>85725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C1B8776E-B620-2072-640B-2417AF3D7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45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1905000</xdr:colOff>
      <xdr:row>85</xdr:row>
      <xdr:rowOff>85725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46702EB-41E9-E6C9-0967-3A826303A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0232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952500</xdr:colOff>
      <xdr:row>82</xdr:row>
      <xdr:rowOff>85725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1E809BB0-F50B-5A21-4D76-F47B699EB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83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952500</xdr:colOff>
      <xdr:row>86</xdr:row>
      <xdr:rowOff>381000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ED2D0D3F-0309-4F70-0651-32E2C4CCA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40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952500</xdr:colOff>
      <xdr:row>88</xdr:row>
      <xdr:rowOff>85725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514238BD-237A-E0EA-07C0-B1A79610E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21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952500</xdr:colOff>
      <xdr:row>92</xdr:row>
      <xdr:rowOff>381000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77586F1C-A0C1-77A2-B5A9-2A388C30D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788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952500</xdr:colOff>
      <xdr:row>93</xdr:row>
      <xdr:rowOff>276225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2E83F1EB-9A59-7C7B-3EC5-219872DFF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598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1905000</xdr:colOff>
      <xdr:row>102</xdr:row>
      <xdr:rowOff>76200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EFD6E180-22D0-50C6-E335-EE939639A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4105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952500</xdr:colOff>
      <xdr:row>100</xdr:row>
      <xdr:rowOff>276225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2424162-3BBE-E3BA-813E-C2D9E19A7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22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952500</xdr:colOff>
      <xdr:row>108</xdr:row>
      <xdr:rowOff>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88DB3533-9697-615F-3F91-24BBBBE50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603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952500</xdr:colOff>
      <xdr:row>110</xdr:row>
      <xdr:rowOff>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B7ADA7B0-4EC9-121F-F8C4-1F23A9C29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413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952500</xdr:colOff>
      <xdr:row>12</xdr:row>
      <xdr:rowOff>381000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59E2A5-D032-C1E0-89AF-ACE5F763B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952500</xdr:colOff>
      <xdr:row>13</xdr:row>
      <xdr:rowOff>276225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B58D51-76F4-FBB6-EAF7-37931CF9F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5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952500</xdr:colOff>
      <xdr:row>20</xdr:row>
      <xdr:rowOff>381000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8FB44D0-1F06-BC8D-59D3-D8303091D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9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1905000</xdr:colOff>
      <xdr:row>26</xdr:row>
      <xdr:rowOff>276225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6D6A4AA-CA38-8C8C-B07A-7F5EC71DD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057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952500</xdr:colOff>
      <xdr:row>26</xdr:row>
      <xdr:rowOff>381000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84F1779-7537-9F07-E9B7-19EC8A489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78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952500</xdr:colOff>
      <xdr:row>28</xdr:row>
      <xdr:rowOff>85725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3C3931E-FC2C-82F0-2619-73068BC48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88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952500</xdr:colOff>
      <xdr:row>32</xdr:row>
      <xdr:rowOff>381000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7095D877-7F24-A59E-B49A-5CE752E20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96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952500</xdr:colOff>
      <xdr:row>34</xdr:row>
      <xdr:rowOff>85725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3AA2F3B-CD18-7EB3-368A-D92CAF91A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77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952500</xdr:colOff>
      <xdr:row>38</xdr:row>
      <xdr:rowOff>381000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99AC491-E16F-23DA-321A-AF589C329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34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1905000</xdr:colOff>
      <xdr:row>44</xdr:row>
      <xdr:rowOff>276225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EB51E687-7501-88D6-EF5E-32AE853EB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540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952500</xdr:colOff>
      <xdr:row>44</xdr:row>
      <xdr:rowOff>381000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93B40C7-EA88-D915-7C3A-B46A50B4F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726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952500</xdr:colOff>
      <xdr:row>46</xdr:row>
      <xdr:rowOff>85725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DD6206B7-CA57-5C88-9D10-8A2FB7F08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536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952500</xdr:colOff>
      <xdr:row>50</xdr:row>
      <xdr:rowOff>381000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437D38E5-CE3D-67D8-AB5D-52C022F99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10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952500</xdr:colOff>
      <xdr:row>52</xdr:row>
      <xdr:rowOff>85725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52B4617-8954-039A-6740-378FE8C95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91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952500</xdr:colOff>
      <xdr:row>56</xdr:row>
      <xdr:rowOff>381000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35FD113-B9DC-CEDB-CC09-DCA06A35E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49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952500</xdr:colOff>
      <xdr:row>58</xdr:row>
      <xdr:rowOff>85725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1F4AEB5-596F-2253-0EF7-5280E3F6B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30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952500</xdr:colOff>
      <xdr:row>62</xdr:row>
      <xdr:rowOff>381000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2AA3D76-C041-6158-D28B-F1C655B03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952500</xdr:colOff>
      <xdr:row>64</xdr:row>
      <xdr:rowOff>85725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E7DE05A-B5F8-A252-A164-7B6F44C8D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952500</xdr:colOff>
      <xdr:row>68</xdr:row>
      <xdr:rowOff>381000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674398D-015B-F4D4-2240-0518782D1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25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952500</xdr:colOff>
      <xdr:row>70</xdr:row>
      <xdr:rowOff>85725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51F42BED-C855-5067-8C4C-250BC71D3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06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952500</xdr:colOff>
      <xdr:row>74</xdr:row>
      <xdr:rowOff>381000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CEBBC95A-194B-EA9B-3AEB-15241DA00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64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952500</xdr:colOff>
      <xdr:row>76</xdr:row>
      <xdr:rowOff>85725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5B58CFBB-9DFA-25E3-BD0D-BCE67A569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45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952500</xdr:colOff>
      <xdr:row>80</xdr:row>
      <xdr:rowOff>381000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ECD850BD-B6F5-2BDC-9B87-EB32C024F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02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952500</xdr:colOff>
      <xdr:row>82</xdr:row>
      <xdr:rowOff>85725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79A57FDD-09CF-3DA5-282F-48D0CB2B0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83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952500</xdr:colOff>
      <xdr:row>86</xdr:row>
      <xdr:rowOff>381000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D336DB83-D32E-E94C-08EF-60A1B43EB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40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952500</xdr:colOff>
      <xdr:row>87</xdr:row>
      <xdr:rowOff>276225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95ADFF51-EFE8-F1A5-C1AF-D68BD6832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21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952500</xdr:colOff>
      <xdr:row>95</xdr:row>
      <xdr:rowOff>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BD5740BE-B196-D40A-D460-CEEC84ACA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02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952500</xdr:colOff>
      <xdr:row>97</xdr:row>
      <xdr:rowOff>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8537127A-2B9E-C3B9-6615-0D81B8A64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83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952500</xdr:colOff>
      <xdr:row>14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B527391-5B80-CB6A-7283-2104B66F2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952500</xdr:colOff>
      <xdr:row>18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9031C3-444A-8C28-D65C-8DBAA2780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5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952500</xdr:colOff>
      <xdr:row>28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C007C80-E772-2766-E83C-924993F31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2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1905000</xdr:colOff>
      <xdr:row>36</xdr:row>
      <xdr:rowOff>85725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7E632E9-0335-D534-0DFB-293E8D3AC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507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952500</xdr:colOff>
      <xdr:row>40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BB2DE38-24AB-DE62-9E34-47C9D8D78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38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952500</xdr:colOff>
      <xdr:row>44</xdr:row>
      <xdr:rowOff>190500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F82BE7B-4C85-26CF-F231-FDF609DEC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63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952500</xdr:colOff>
      <xdr:row>52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863C857B-3D64-1F20-DA24-CD93AEC09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25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952500</xdr:colOff>
      <xdr:row>56</xdr:row>
      <xdr:rowOff>190500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5B0F35CF-132A-4C12-1107-0F54E48E9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776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1905000</xdr:colOff>
      <xdr:row>68</xdr:row>
      <xdr:rowOff>190500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105B159-8BB6-B0BA-446C-7597E17FA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640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952500</xdr:colOff>
      <xdr:row>68</xdr:row>
      <xdr:rowOff>190500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F883615-FB69-6EBC-D79A-5B527D04D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589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952500</xdr:colOff>
      <xdr:row>76</xdr:row>
      <xdr:rowOff>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9454AFE-7A9E-10A3-BA27-127D1E596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876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952500</xdr:colOff>
      <xdr:row>80</xdr:row>
      <xdr:rowOff>190500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9C5D38B-E5C2-2A47-572A-0CDCBE735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01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952500</xdr:colOff>
      <xdr:row>88</xdr:row>
      <xdr:rowOff>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1F5F8A37-FB68-402C-A31C-28E19CBFB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68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952500</xdr:colOff>
      <xdr:row>92</xdr:row>
      <xdr:rowOff>190500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CD8E997-13E4-05D2-90DC-D97536DC0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214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952500</xdr:colOff>
      <xdr:row>100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32283CEF-F14E-62F4-3591-A332E0496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50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952500</xdr:colOff>
      <xdr:row>104</xdr:row>
      <xdr:rowOff>190500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D63CCF37-6766-5144-80B5-78897FE13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027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952500</xdr:colOff>
      <xdr:row>112</xdr:row>
      <xdr:rowOff>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8E265155-4B83-E3E1-7E31-55F9F2024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952500</xdr:colOff>
      <xdr:row>116</xdr:row>
      <xdr:rowOff>190500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AF4683CC-0499-F514-670C-4B64D9FB8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952500</xdr:colOff>
      <xdr:row>124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142336C-AC5A-8FDA-3EFF-A9501766D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12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952500</xdr:colOff>
      <xdr:row>128</xdr:row>
      <xdr:rowOff>190500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D3D0B95-4982-D1A0-A140-1CD562E4C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65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952500</xdr:colOff>
      <xdr:row>136</xdr:row>
      <xdr:rowOff>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2C9E9F-58AF-C2CD-4338-2A4CED887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94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952500</xdr:colOff>
      <xdr:row>140</xdr:row>
      <xdr:rowOff>190500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064E62E-0371-CF0A-D606-E90CF8D22A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65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952500</xdr:colOff>
      <xdr:row>148</xdr:row>
      <xdr:rowOff>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3A98822B-C4D9-AE56-2BFF-4C7D92AD8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75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952500</xdr:colOff>
      <xdr:row>152</xdr:row>
      <xdr:rowOff>190500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C30A6D8E-DF88-BF7E-7DED-C5CB75270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27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952500</xdr:colOff>
      <xdr:row>160</xdr:row>
      <xdr:rowOff>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9C951AD7-919D-5264-161D-0E9F8E0AC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56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952500</xdr:colOff>
      <xdr:row>164</xdr:row>
      <xdr:rowOff>190500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285B9731-D675-DADE-3B19-8E0723722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091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952500</xdr:colOff>
      <xdr:row>173</xdr:row>
      <xdr:rowOff>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53636771-B97A-24BF-8134-78C7D90DA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9189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952500</xdr:colOff>
      <xdr:row>177</xdr:row>
      <xdr:rowOff>190500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1A886138-79DF-5289-4D9B-4EE04BC7F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871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0</xdr:col>
      <xdr:colOff>1905000</xdr:colOff>
      <xdr:row>191</xdr:row>
      <xdr:rowOff>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DFACCFAB-9916-29CD-4939-3024DBFAC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08120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186</xdr:row>
      <xdr:rowOff>0</xdr:rowOff>
    </xdr:from>
    <xdr:to>
      <xdr:col>0</xdr:col>
      <xdr:colOff>952500</xdr:colOff>
      <xdr:row>191</xdr:row>
      <xdr:rowOff>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32595B55-6B08-B6C9-2EDD-EEAD6D24D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337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952500</xdr:colOff>
      <xdr:row>12</xdr:row>
      <xdr:rowOff>381000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AD82FE1-FA53-7D9F-A4D7-83D1505FA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952500</xdr:colOff>
      <xdr:row>13</xdr:row>
      <xdr:rowOff>276225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BA94ED9-1D85-027C-288F-1C438067D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5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952500</xdr:colOff>
      <xdr:row>20</xdr:row>
      <xdr:rowOff>381000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97FF12D-E265-3D92-0583-B0A8FA4FB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9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952500</xdr:colOff>
      <xdr:row>22</xdr:row>
      <xdr:rowOff>85725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BF6BFBB-D4F2-1017-56AA-6F902C9B8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0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952500</xdr:colOff>
      <xdr:row>26</xdr:row>
      <xdr:rowOff>381000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436CA47-40EB-03BA-7916-6EB37416C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78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1905000</xdr:colOff>
      <xdr:row>32</xdr:row>
      <xdr:rowOff>276225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73D7595-8164-F47D-43E4-A490A58B5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885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952500</xdr:colOff>
      <xdr:row>32</xdr:row>
      <xdr:rowOff>381000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9E442BB-BB05-2F1F-4435-3E0E1C1B6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96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1905000</xdr:colOff>
      <xdr:row>38</xdr:row>
      <xdr:rowOff>276225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FCF1027-99BA-675A-8FE0-5B4BF3344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7712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952500</xdr:colOff>
      <xdr:row>38</xdr:row>
      <xdr:rowOff>381000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FF5D8DB4-B654-E74B-960B-57DC90373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34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952500</xdr:colOff>
      <xdr:row>40</xdr:row>
      <xdr:rowOff>85725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97EDEDDB-F216-3625-C17C-495F7FE77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5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952500</xdr:colOff>
      <xdr:row>44</xdr:row>
      <xdr:rowOff>381000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E143842-6E9B-8188-356B-6B2E18A13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726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1905000</xdr:colOff>
      <xdr:row>50</xdr:row>
      <xdr:rowOff>276225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A93C15A-A4A5-6AF2-DE37-7271885B1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5367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952500</xdr:colOff>
      <xdr:row>50</xdr:row>
      <xdr:rowOff>381000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F49AF802-A6A4-9A0A-C2DC-387BCA27A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10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952500</xdr:colOff>
      <xdr:row>52</xdr:row>
      <xdr:rowOff>85725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13D3B846-730D-9BDA-92A6-90ED864E3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91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952500</xdr:colOff>
      <xdr:row>56</xdr:row>
      <xdr:rowOff>381000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06DC4FD6-B50B-CF54-39D6-3470DF0C2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49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952500</xdr:colOff>
      <xdr:row>58</xdr:row>
      <xdr:rowOff>85725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75B4EA18-54D3-3FC2-35C7-179E7DE9C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30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952500</xdr:colOff>
      <xdr:row>62</xdr:row>
      <xdr:rowOff>381000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B2D04EE-7468-482F-887D-34C12063F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952500</xdr:colOff>
      <xdr:row>64</xdr:row>
      <xdr:rowOff>85725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60910B2-CCD3-B799-9BAE-6988E6C41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952500</xdr:colOff>
      <xdr:row>68</xdr:row>
      <xdr:rowOff>381000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E639674-3EA7-9A91-A813-39C8B7C00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25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952500</xdr:colOff>
      <xdr:row>70</xdr:row>
      <xdr:rowOff>85725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5F242AD-9DC3-D8CA-0787-E7F4E09FC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06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952500</xdr:colOff>
      <xdr:row>74</xdr:row>
      <xdr:rowOff>381000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49D63DB9-BD5C-DD6F-D31E-4FDD61A1D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64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952500</xdr:colOff>
      <xdr:row>76</xdr:row>
      <xdr:rowOff>85725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D07DF15-5058-2E54-5495-0BC1BE41E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45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952500</xdr:colOff>
      <xdr:row>80</xdr:row>
      <xdr:rowOff>381000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5B29BD8-D1D4-DD5A-27AB-52B894E09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02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952500</xdr:colOff>
      <xdr:row>82</xdr:row>
      <xdr:rowOff>85725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17A81B46-0A81-BDE3-613E-958E8D3D2A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83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952500</xdr:colOff>
      <xdr:row>86</xdr:row>
      <xdr:rowOff>381000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3E356EA-FF28-F18D-66DB-497B2F3A9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40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952500</xdr:colOff>
      <xdr:row>87</xdr:row>
      <xdr:rowOff>276225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65101725-669E-500D-E63A-E09C0FD73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21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952500</xdr:colOff>
      <xdr:row>93</xdr:row>
      <xdr:rowOff>381000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5E776FE9-7116-4191-B9DA-DD8B3E339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202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952500</xdr:colOff>
      <xdr:row>94</xdr:row>
      <xdr:rowOff>276225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74F62172-3C12-5919-CD09-CB5624186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83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952500</xdr:colOff>
      <xdr:row>102</xdr:row>
      <xdr:rowOff>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4CA865CD-D64D-3465-792F-BB2EC4114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2220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952500</xdr:colOff>
      <xdr:row>104</xdr:row>
      <xdr:rowOff>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BF2864BE-DE47-2795-58FD-88AA2F8C6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6030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952500</xdr:colOff>
      <xdr:row>14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4C6844-00C8-0AC1-9C22-8DEB3676A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952500</xdr:colOff>
      <xdr:row>18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200662-4963-D3F3-E841-43C44FB88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5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1905000</xdr:colOff>
      <xdr:row>32</xdr:row>
      <xdr:rowOff>190500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209B313-15A1-EC18-165A-2C1A160EC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257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952500</xdr:colOff>
      <xdr:row>32</xdr:row>
      <xdr:rowOff>190500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8C2357DC-B571-A01D-6CF5-E393F13FE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50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1905000</xdr:colOff>
      <xdr:row>44</xdr:row>
      <xdr:rowOff>190500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0490534-F041-E191-69FB-E071A784F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385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952500</xdr:colOff>
      <xdr:row>44</xdr:row>
      <xdr:rowOff>190500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1373964-08EA-0739-E7BA-5C38EA9A9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63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952500</xdr:colOff>
      <xdr:row>52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2875E29E-4276-1F0A-847C-291B6DAE9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25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952500</xdr:colOff>
      <xdr:row>56</xdr:row>
      <xdr:rowOff>190500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795FAB5-0357-25DB-207A-712668728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776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952500</xdr:colOff>
      <xdr:row>64</xdr:row>
      <xdr:rowOff>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365AB71-E8A1-FE68-8126-E098524B4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6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952500</xdr:colOff>
      <xdr:row>68</xdr:row>
      <xdr:rowOff>190500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DD310B11-CCF3-4844-7ABB-31FC67AB3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589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952500</xdr:colOff>
      <xdr:row>76</xdr:row>
      <xdr:rowOff>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7725828-A65B-019E-5FAD-F97A52BFD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876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952500</xdr:colOff>
      <xdr:row>80</xdr:row>
      <xdr:rowOff>190500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F97FE78-BA7B-BC4F-724C-C4555D301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01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1905000</xdr:colOff>
      <xdr:row>92</xdr:row>
      <xdr:rowOff>190500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CF466DA-A45F-94C8-B215-970A48827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6895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952500</xdr:colOff>
      <xdr:row>92</xdr:row>
      <xdr:rowOff>190500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BDE134C-EA16-60BA-88C8-81923BDB9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214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952500</xdr:colOff>
      <xdr:row>100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BC5FDA45-8980-AEB2-5637-13B27682F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50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952500</xdr:colOff>
      <xdr:row>104</xdr:row>
      <xdr:rowOff>190500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4774C299-CA45-AD0B-E22B-8E293B6CB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027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952500</xdr:colOff>
      <xdr:row>112</xdr:row>
      <xdr:rowOff>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23584667-6C50-09AB-50FD-99874AB72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952500</xdr:colOff>
      <xdr:row>116</xdr:row>
      <xdr:rowOff>190500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4122721-8E45-9A77-3366-47555E184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952500</xdr:colOff>
      <xdr:row>124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21FC469F-1632-01B6-9C7F-08F1DD264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12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952500</xdr:colOff>
      <xdr:row>128</xdr:row>
      <xdr:rowOff>190500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F7265D3-2BAC-F58F-EBB6-F635C45FA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65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952500</xdr:colOff>
      <xdr:row>136</xdr:row>
      <xdr:rowOff>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BDEAA758-89E3-47C5-DD25-FD37229A5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94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952500</xdr:colOff>
      <xdr:row>140</xdr:row>
      <xdr:rowOff>190500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8196B18-1838-9A4D-6851-D1A7CEA6E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65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952500</xdr:colOff>
      <xdr:row>148</xdr:row>
      <xdr:rowOff>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3154DA0-86F1-74B3-568F-F8E4563A7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75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952500</xdr:colOff>
      <xdr:row>152</xdr:row>
      <xdr:rowOff>190500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2A82E916-9CAD-E053-5605-FC80BA8E8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27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0</xdr:col>
      <xdr:colOff>952500</xdr:colOff>
      <xdr:row>161</xdr:row>
      <xdr:rowOff>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EA09560C-1C1F-E7FF-0C06-CDF97758A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480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952500</xdr:colOff>
      <xdr:row>166</xdr:row>
      <xdr:rowOff>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54F013B1-00A5-84E4-8CD9-6FF7434AF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33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952500</xdr:colOff>
      <xdr:row>14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BC27305-478A-929A-EE60-BD9A27131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952500</xdr:colOff>
      <xdr:row>18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533216-C88E-F376-C294-91715F081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5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952500</xdr:colOff>
      <xdr:row>28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DF8FBCE-4EA6-FED1-235C-1EA30D5D4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2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952500</xdr:colOff>
      <xdr:row>32</xdr:row>
      <xdr:rowOff>190500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8BB2EB2-FC36-4911-274C-5516094B1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50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1905000</xdr:colOff>
      <xdr:row>44</xdr:row>
      <xdr:rowOff>190500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7D82F7B-B6C0-D644-7AF6-4158CC3A7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385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952500</xdr:colOff>
      <xdr:row>44</xdr:row>
      <xdr:rowOff>190500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E24FB6C-1080-1FC6-4571-557BFC134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63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952500</xdr:colOff>
      <xdr:row>52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42B1FFB-97FD-2769-8987-A1C5D5FC9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25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952500</xdr:colOff>
      <xdr:row>56</xdr:row>
      <xdr:rowOff>190500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D3D6063B-D2DE-E51E-3F75-A3668946D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776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952500</xdr:colOff>
      <xdr:row>64</xdr:row>
      <xdr:rowOff>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C8D7C83-B94A-3004-FF39-5A834ECAEA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6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952500</xdr:colOff>
      <xdr:row>68</xdr:row>
      <xdr:rowOff>190500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CE01625A-4AD3-05C5-6C5F-F7E9DF746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589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952500</xdr:colOff>
      <xdr:row>76</xdr:row>
      <xdr:rowOff>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DC07683-4237-B6AE-6D9C-24F1E0BA3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876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952500</xdr:colOff>
      <xdr:row>80</xdr:row>
      <xdr:rowOff>190500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A8D32638-8D8A-EADC-B3CC-408ED2E41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01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952500</xdr:colOff>
      <xdr:row>88</xdr:row>
      <xdr:rowOff>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DCAFF03-5179-088D-800B-12AB8B622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68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952500</xdr:colOff>
      <xdr:row>92</xdr:row>
      <xdr:rowOff>190500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64E2DE8-22F0-738C-5CE7-3EE8FD2D6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214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952500</xdr:colOff>
      <xdr:row>100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89D692DC-A224-71C9-736C-DE2262C2B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50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952500</xdr:colOff>
      <xdr:row>104</xdr:row>
      <xdr:rowOff>190500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68608BD-F7F5-3B4A-78A5-ED578F63C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027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952500</xdr:colOff>
      <xdr:row>112</xdr:row>
      <xdr:rowOff>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6BC4B1C1-4885-71B0-E176-112B0469E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952500</xdr:colOff>
      <xdr:row>116</xdr:row>
      <xdr:rowOff>190500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F44F1F86-51A4-F5E0-0242-4DF22784B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952500</xdr:colOff>
      <xdr:row>124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EE472EFA-0FAE-CEB0-706D-D9EEB32E0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12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952500</xdr:colOff>
      <xdr:row>128</xdr:row>
      <xdr:rowOff>190500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769D84CE-0F36-7E40-21F0-DC500302B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65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952500</xdr:colOff>
      <xdr:row>136</xdr:row>
      <xdr:rowOff>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B976DBF-9196-4F65-CB48-58AF6283F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94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952500</xdr:colOff>
      <xdr:row>140</xdr:row>
      <xdr:rowOff>190500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59A1330-F858-FDCB-8523-E018EB07C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65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952500</xdr:colOff>
      <xdr:row>148</xdr:row>
      <xdr:rowOff>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282BA7A-F7E0-0199-D9AC-67358276D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75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952500</xdr:colOff>
      <xdr:row>152</xdr:row>
      <xdr:rowOff>190500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25BA89F1-24A6-E155-5ADA-6EB3D9102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27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952500</xdr:colOff>
      <xdr:row>160</xdr:row>
      <xdr:rowOff>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80847D36-496D-3726-7C4B-FA80A84B8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56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952500</xdr:colOff>
      <xdr:row>164</xdr:row>
      <xdr:rowOff>190500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CB633386-8C3D-6BC1-36EA-8773A535B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091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952500</xdr:colOff>
      <xdr:row>173</xdr:row>
      <xdr:rowOff>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3C77A157-616B-AE8E-A15C-7FD92DCE7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61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952500</xdr:colOff>
      <xdr:row>178</xdr:row>
      <xdr:rowOff>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AEC5F46D-B088-F366-D35F-C6F3DB0CC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14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952500</xdr:colOff>
      <xdr:row>14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17B37B4-B3BF-5E2A-D2A0-1BDAC9C94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952500</xdr:colOff>
      <xdr:row>18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BA72C3D-516D-1420-030E-FD48AF1E9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5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952500</xdr:colOff>
      <xdr:row>28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48064DA-C025-66B3-C0D9-330D3532C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2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952500</xdr:colOff>
      <xdr:row>32</xdr:row>
      <xdr:rowOff>190500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852CEAC-5B67-98D5-2BCC-FFBE56AC6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50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952500</xdr:colOff>
      <xdr:row>40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94B070E-B125-52D7-CBB1-C049270D3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38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952500</xdr:colOff>
      <xdr:row>44</xdr:row>
      <xdr:rowOff>190500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BC47F34-5D64-0C27-B786-6802591E2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63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952500</xdr:colOff>
      <xdr:row>52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02794DD-3790-2D69-C4D7-BE6D91559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25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952500</xdr:colOff>
      <xdr:row>56</xdr:row>
      <xdr:rowOff>190500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22FA184-7256-5966-EAF4-5102ED523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776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952500</xdr:colOff>
      <xdr:row>64</xdr:row>
      <xdr:rowOff>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75DA3CF-13A3-7D69-7713-6DB1A0DAD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6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952500</xdr:colOff>
      <xdr:row>68</xdr:row>
      <xdr:rowOff>190500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6E3727B-6FD3-89F9-367A-6D611217AE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589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952500</xdr:colOff>
      <xdr:row>76</xdr:row>
      <xdr:rowOff>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CAAFC9F-C941-DCD6-E06C-F6C1B767F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876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952500</xdr:colOff>
      <xdr:row>80</xdr:row>
      <xdr:rowOff>190500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CB12834-3E68-F59C-88B0-D4BC5E151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01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952500</xdr:colOff>
      <xdr:row>88</xdr:row>
      <xdr:rowOff>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6F4EBB4-F4F3-1F35-637C-4760DFEED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68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952500</xdr:colOff>
      <xdr:row>92</xdr:row>
      <xdr:rowOff>190500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54E87C5-69F9-0E2F-8032-F5C15BBA9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214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1905000</xdr:colOff>
      <xdr:row>104</xdr:row>
      <xdr:rowOff>190500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633A36E2-D0CB-76EF-35E7-EF5EC286C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5022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1905000</xdr:colOff>
      <xdr:row>108</xdr:row>
      <xdr:rowOff>85725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381F44F4-9B81-2931-27DF-D5274B149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0272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952500</xdr:colOff>
      <xdr:row>112</xdr:row>
      <xdr:rowOff>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975BD3A-E9A2-E2D5-C273-20AF51A15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1905000</xdr:colOff>
      <xdr:row>120</xdr:row>
      <xdr:rowOff>85725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8E088AA-78EC-0BC3-250B-DF7438497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8400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952500</xdr:colOff>
      <xdr:row>124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7F43DBB-9D2B-A92A-7283-C06759869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12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952500</xdr:colOff>
      <xdr:row>128</xdr:row>
      <xdr:rowOff>190500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68721F7-C0E7-4CFF-28AF-73E65CE32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65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952500</xdr:colOff>
      <xdr:row>136</xdr:row>
      <xdr:rowOff>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EDD7E06A-DCF5-C430-0452-B2DC9D13C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94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952500</xdr:colOff>
      <xdr:row>140</xdr:row>
      <xdr:rowOff>190500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0A82C2CE-62B6-651D-3299-B2DA27994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65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952500</xdr:colOff>
      <xdr:row>148</xdr:row>
      <xdr:rowOff>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749D47E5-4BDF-35BF-DBF2-DE9200DF2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75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952500</xdr:colOff>
      <xdr:row>152</xdr:row>
      <xdr:rowOff>190500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90E397D2-5FED-D655-66F1-B86AC615C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27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952500</xdr:colOff>
      <xdr:row>160</xdr:row>
      <xdr:rowOff>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703A5E3F-5C95-3566-AF7B-E0DE99F82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56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952500</xdr:colOff>
      <xdr:row>164</xdr:row>
      <xdr:rowOff>190500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50969B33-721D-C77F-B1B3-24C51141B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091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952500</xdr:colOff>
      <xdr:row>173</xdr:row>
      <xdr:rowOff>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AA1EA5A2-385C-9C2B-869B-34851908F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61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952500</xdr:colOff>
      <xdr:row>178</xdr:row>
      <xdr:rowOff>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1D80C45E-9863-2FB5-4FDB-48B4B7CF9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14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1905000</xdr:colOff>
      <xdr:row>13</xdr:row>
      <xdr:rowOff>847725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904BBD-7FD9-677E-B058-B13288276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952500</xdr:colOff>
      <xdr:row>13</xdr:row>
      <xdr:rowOff>276225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5E769E5-2042-6103-158C-1E9F4FFCF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05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952500</xdr:colOff>
      <xdr:row>20</xdr:row>
      <xdr:rowOff>381000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A30C9AD-5EEB-419C-76BE-69B2089BA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9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952500</xdr:colOff>
      <xdr:row>22</xdr:row>
      <xdr:rowOff>85725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C920E2BA-8701-11E1-41B0-47050D6D6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00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952500</xdr:colOff>
      <xdr:row>26</xdr:row>
      <xdr:rowOff>381000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FB578E1-F97B-5E29-C828-8EB2EE6D4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578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952500</xdr:colOff>
      <xdr:row>28</xdr:row>
      <xdr:rowOff>85725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DD8404E-228E-F5D9-DB34-F39E2769F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388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952500</xdr:colOff>
      <xdr:row>32</xdr:row>
      <xdr:rowOff>381000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C319DE4B-B88F-CF8B-6EB0-0EA204472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96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952500</xdr:colOff>
      <xdr:row>34</xdr:row>
      <xdr:rowOff>85725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4790A02-DCDA-701A-3688-0939E8F17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77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952500</xdr:colOff>
      <xdr:row>38</xdr:row>
      <xdr:rowOff>381000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8303E29-9CAF-4A8D-0027-413B3A206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34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952500</xdr:colOff>
      <xdr:row>40</xdr:row>
      <xdr:rowOff>85725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D4D87C7-27CA-1784-55C4-E08C2F66C3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915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952500</xdr:colOff>
      <xdr:row>44</xdr:row>
      <xdr:rowOff>381000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39AB338-E935-9D38-FFD2-398FBA805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9726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952500</xdr:colOff>
      <xdr:row>46</xdr:row>
      <xdr:rowOff>85725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33E30AB-4109-2997-C79C-F65D6647B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3536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952500</xdr:colOff>
      <xdr:row>50</xdr:row>
      <xdr:rowOff>381000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8EC1E589-4CAB-8AF2-BFCD-CC5AC8A7B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10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952500</xdr:colOff>
      <xdr:row>52</xdr:row>
      <xdr:rowOff>85725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06F7C99-25AC-A7BE-8801-1FBA5F0F3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791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952500</xdr:colOff>
      <xdr:row>56</xdr:row>
      <xdr:rowOff>381000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13454D4-7A99-E532-451B-6EC6F6AA1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849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952500</xdr:colOff>
      <xdr:row>58</xdr:row>
      <xdr:rowOff>85725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2A76DC5-BF8E-810A-E568-294B8F15E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230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1905000</xdr:colOff>
      <xdr:row>67</xdr:row>
      <xdr:rowOff>85725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6788DC2-863B-E28C-5B00-35F3B60A8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8750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952500</xdr:colOff>
      <xdr:row>64</xdr:row>
      <xdr:rowOff>85725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8F43191-C516-2FA4-0153-24E797376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66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952500</xdr:colOff>
      <xdr:row>68</xdr:row>
      <xdr:rowOff>381000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2DC2D31B-7C4E-5DFD-A313-EB460C3A6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25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952500</xdr:colOff>
      <xdr:row>70</xdr:row>
      <xdr:rowOff>85725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6F452F2-2A02-D267-51C6-A5D071AAF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06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952500</xdr:colOff>
      <xdr:row>74</xdr:row>
      <xdr:rowOff>381000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714ADDED-0D97-8E99-267C-D2B747143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64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952500</xdr:colOff>
      <xdr:row>76</xdr:row>
      <xdr:rowOff>85725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C204F287-E368-983D-3F2C-14C86D0CC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545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952500</xdr:colOff>
      <xdr:row>80</xdr:row>
      <xdr:rowOff>381000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E6A99A8A-6007-B176-6C8F-32C688AA4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602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1905000</xdr:colOff>
      <xdr:row>86</xdr:row>
      <xdr:rowOff>276225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20D02644-647D-2F86-2693-0E8450629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98332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952500</xdr:colOff>
      <xdr:row>86</xdr:row>
      <xdr:rowOff>381000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CC75C0F8-0D76-C57B-E57D-B678F76EE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040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952500</xdr:colOff>
      <xdr:row>88</xdr:row>
      <xdr:rowOff>85725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5C036034-668A-4284-68E4-AD77147BF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421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952500</xdr:colOff>
      <xdr:row>92</xdr:row>
      <xdr:rowOff>381000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55E0EE18-8A14-6B41-BB9D-D47497813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4788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952500</xdr:colOff>
      <xdr:row>93</xdr:row>
      <xdr:rowOff>276225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81182FDC-AA86-BCE0-EAC3-95A5A7D78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598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952500</xdr:colOff>
      <xdr:row>101</xdr:row>
      <xdr:rowOff>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12A50CBC-4D76-7071-8650-019A62A64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641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952500</xdr:colOff>
      <xdr:row>103</xdr:row>
      <xdr:rowOff>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B2FDC7AF-9B67-A402-AD46-A20D84ED0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022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952500</xdr:colOff>
      <xdr:row>14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4262B3-76A7-5C72-4D61-F3FBCDB3D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952500</xdr:colOff>
      <xdr:row>18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F1A007-A02A-5C2E-F45A-F05F7A2AD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5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952500</xdr:colOff>
      <xdr:row>28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2BA9D72-4309-84F0-F60B-3D4355754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2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952500</xdr:colOff>
      <xdr:row>32</xdr:row>
      <xdr:rowOff>190500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90CAA0C-B658-93E1-F67C-788A6E875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50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952500</xdr:colOff>
      <xdr:row>40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AF857D7-E6A6-8E87-F9B5-745F528B2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38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952500</xdr:colOff>
      <xdr:row>44</xdr:row>
      <xdr:rowOff>190500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B63EEA66-DD16-68B9-19CA-B26320C2A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63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952500</xdr:colOff>
      <xdr:row>52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D3743B8D-BC48-14E5-D06F-266485E09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25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952500</xdr:colOff>
      <xdr:row>56</xdr:row>
      <xdr:rowOff>190500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7BE9E3BC-5178-122A-B83D-FD86176EF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776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952500</xdr:colOff>
      <xdr:row>64</xdr:row>
      <xdr:rowOff>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B222F79B-C61B-5B36-E829-A9854E6FA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6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952500</xdr:colOff>
      <xdr:row>68</xdr:row>
      <xdr:rowOff>190500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852635E-8244-57A7-DA45-8E1C6017A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589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952500</xdr:colOff>
      <xdr:row>76</xdr:row>
      <xdr:rowOff>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C7EBF272-7C1A-3108-AFF4-873DBFAA8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876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1905000</xdr:colOff>
      <xdr:row>84</xdr:row>
      <xdr:rowOff>85725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ED0C4BEF-F311-2808-0111-5E13EE2D23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017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952500</xdr:colOff>
      <xdr:row>88</xdr:row>
      <xdr:rowOff>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7B545685-175F-BB9B-EDDB-A9E3175B0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68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952500</xdr:colOff>
      <xdr:row>92</xdr:row>
      <xdr:rowOff>190500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49789-8722-9EC1-BA1F-F484DE8CF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214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1905000</xdr:colOff>
      <xdr:row>104</xdr:row>
      <xdr:rowOff>190500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9EDCEC9A-E9F9-A2C7-AB8E-85637E0D7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5022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952500</xdr:colOff>
      <xdr:row>104</xdr:row>
      <xdr:rowOff>190500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0F8DCA50-6B19-3D3F-1220-0A71AFEBC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027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1905000</xdr:colOff>
      <xdr:row>116</xdr:row>
      <xdr:rowOff>190500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C588C60-BED6-B918-9526-D3F7C0438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3150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952500</xdr:colOff>
      <xdr:row>116</xdr:row>
      <xdr:rowOff>190500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E129F92E-B042-A44F-CEDC-A85E81E6B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952500</xdr:colOff>
      <xdr:row>124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14F63D94-25E3-8D8C-F7BE-F58B9A089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12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952500</xdr:colOff>
      <xdr:row>128</xdr:row>
      <xdr:rowOff>190500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0546DE4-8934-4B0C-E18B-41928E3DC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65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952500</xdr:colOff>
      <xdr:row>136</xdr:row>
      <xdr:rowOff>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3535AFF8-4D36-ABB2-8DE1-1D0D1293A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94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952500</xdr:colOff>
      <xdr:row>140</xdr:row>
      <xdr:rowOff>190500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38B05869-A550-8ECF-674D-C33F96EF6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65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952500</xdr:colOff>
      <xdr:row>148</xdr:row>
      <xdr:rowOff>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FB3333-DB96-7C25-3F20-B51C5CED8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75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952500</xdr:colOff>
      <xdr:row>152</xdr:row>
      <xdr:rowOff>190500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7E282743-1367-76FF-1871-88550F6A37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27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952500</xdr:colOff>
      <xdr:row>160</xdr:row>
      <xdr:rowOff>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82BE69B0-A119-FABE-C1E7-3C86F23B8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56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952500</xdr:colOff>
      <xdr:row>164</xdr:row>
      <xdr:rowOff>190500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5484CF45-BC06-EA7D-1F71-D24080112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091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952500</xdr:colOff>
      <xdr:row>173</xdr:row>
      <xdr:rowOff>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C0B5A0EB-3AFD-782C-59EB-C81360CE0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61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952500</xdr:colOff>
      <xdr:row>178</xdr:row>
      <xdr:rowOff>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13ACA0D-1FDE-9643-32C0-94BA464ED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14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952500</xdr:colOff>
      <xdr:row>14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3A94B20-8DEF-CCC1-33FC-A28740082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952500</xdr:colOff>
      <xdr:row>18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829A50-9585-9CAD-F544-478FB59E9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5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952500</xdr:colOff>
      <xdr:row>27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A59D3DA-4B3E-0523-618E-3BB9DE663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58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952500</xdr:colOff>
      <xdr:row>31</xdr:row>
      <xdr:rowOff>190500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010456-AC99-058E-155D-D20ADA8E3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83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952500</xdr:colOff>
      <xdr:row>39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5C0E5BA2-1298-8B8F-0589-AD72E4612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770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952500</xdr:colOff>
      <xdr:row>43</xdr:row>
      <xdr:rowOff>190500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F539D6D-0EF4-1839-F3D4-89F052EDF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29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1905000</xdr:colOff>
      <xdr:row>55</xdr:row>
      <xdr:rowOff>190500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56508F24-BCD5-C2FD-C701-A49D8DAF9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835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952500</xdr:colOff>
      <xdr:row>55</xdr:row>
      <xdr:rowOff>190500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CEDA939-8737-8947-F7AF-73021BDDB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108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952500</xdr:colOff>
      <xdr:row>63</xdr:row>
      <xdr:rowOff>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3CF53FAB-8EB9-A75A-F0D4-9E7ACB330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396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952500</xdr:colOff>
      <xdr:row>67</xdr:row>
      <xdr:rowOff>190500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A716D53E-60BE-2384-F29C-BDF7EE489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92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952500</xdr:colOff>
      <xdr:row>75</xdr:row>
      <xdr:rowOff>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11E3E10D-6015-D512-BFF7-6926BDB4E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209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952500</xdr:colOff>
      <xdr:row>79</xdr:row>
      <xdr:rowOff>190500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0E24583-75E0-15F8-827C-E4DCD0319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73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952500</xdr:colOff>
      <xdr:row>87</xdr:row>
      <xdr:rowOff>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C29D6247-9507-CD71-9E20-2168C7BF6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021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1905000</xdr:colOff>
      <xdr:row>95</xdr:row>
      <xdr:rowOff>85725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95E422C-AE8B-49CA-AE79-E28E05F00E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5467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952500</xdr:colOff>
      <xdr:row>99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7E292E9-9A79-AF85-4589-023145F7D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834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1905000</xdr:colOff>
      <xdr:row>107</xdr:row>
      <xdr:rowOff>85725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DDB9714-87BC-7F0F-97DD-B4C9FB5A9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3595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952500</xdr:colOff>
      <xdr:row>111</xdr:row>
      <xdr:rowOff>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5D6AC42D-F1D4-C7DA-D44D-BEE3F9CF0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647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952500</xdr:colOff>
      <xdr:row>115</xdr:row>
      <xdr:rowOff>190500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F81107A4-B832-9A8A-6108-F18D780A9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17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952500</xdr:colOff>
      <xdr:row>123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DB16CE38-7505-7C6F-B313-1D8645A40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952500</xdr:colOff>
      <xdr:row>127</xdr:row>
      <xdr:rowOff>190500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086AE7D-4DE4-4C61-D701-A52A48918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952500</xdr:colOff>
      <xdr:row>135</xdr:row>
      <xdr:rowOff>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25A0A9C7-F8E4-9B11-2D7E-91AC09E29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27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952500</xdr:colOff>
      <xdr:row>139</xdr:row>
      <xdr:rowOff>190500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7C4E5C03-645E-A758-707E-8E89805EF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79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952500</xdr:colOff>
      <xdr:row>147</xdr:row>
      <xdr:rowOff>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106A26A-0D8D-82C2-6911-9CDB7A973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085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952500</xdr:colOff>
      <xdr:row>151</xdr:row>
      <xdr:rowOff>190500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7CABB4D3-2FE4-6F57-CDE7-97DCAC33F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61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952500</xdr:colOff>
      <xdr:row>159</xdr:row>
      <xdr:rowOff>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4DFA46DF-6BF7-34A8-4004-051DEB902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89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952500</xdr:colOff>
      <xdr:row>163</xdr:row>
      <xdr:rowOff>190500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9322B3C-CF5A-1144-FD1D-92252EDC9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42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952500</xdr:colOff>
      <xdr:row>171</xdr:row>
      <xdr:rowOff>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9EDB3F62-35CC-558E-BFAE-C3665ACF0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711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952500</xdr:colOff>
      <xdr:row>175</xdr:row>
      <xdr:rowOff>190500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C8BC6209-65DD-1937-D495-AB2C42BE6A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23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952500</xdr:colOff>
      <xdr:row>183</xdr:row>
      <xdr:rowOff>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21D07916-CA41-F173-FAC4-37BA3898F5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523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952500</xdr:colOff>
      <xdr:row>187</xdr:row>
      <xdr:rowOff>190500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A11F9974-9D05-9CA5-B621-BF9D6F6B4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048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191</xdr:row>
      <xdr:rowOff>0</xdr:rowOff>
    </xdr:from>
    <xdr:to>
      <xdr:col>0</xdr:col>
      <xdr:colOff>952500</xdr:colOff>
      <xdr:row>196</xdr:row>
      <xdr:rowOff>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F706C248-98B3-B533-0921-217A3F417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575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196</xdr:row>
      <xdr:rowOff>0</xdr:rowOff>
    </xdr:from>
    <xdr:to>
      <xdr:col>0</xdr:col>
      <xdr:colOff>952500</xdr:colOff>
      <xdr:row>201</xdr:row>
      <xdr:rowOff>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422D0F97-F622-882E-75ED-A3FB093A0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310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952500</xdr:colOff>
      <xdr:row>14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0B51E99-88A4-2920-C30A-E8A55AC2B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952500</xdr:colOff>
      <xdr:row>18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B254FA-46DD-10B7-609D-FF18BA19B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5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952500</xdr:colOff>
      <xdr:row>28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8CA7135-0703-8E9F-0205-F96F74DDA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2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952500</xdr:colOff>
      <xdr:row>32</xdr:row>
      <xdr:rowOff>190500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2F93BC-71DB-196A-48A2-6613C2526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50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952500</xdr:colOff>
      <xdr:row>40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F4843CF-C0FC-7291-4C46-761AB46B4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38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1905000</xdr:colOff>
      <xdr:row>48</xdr:row>
      <xdr:rowOff>85725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6A469327-558B-6515-D80C-4FF81482B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635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952500</xdr:colOff>
      <xdr:row>52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3AAA8F3-A9D0-A819-15D7-FA1F24833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25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952500</xdr:colOff>
      <xdr:row>56</xdr:row>
      <xdr:rowOff>190500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3FE4251D-C0FB-8233-BBC7-0616D0FC6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776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952500</xdr:colOff>
      <xdr:row>64</xdr:row>
      <xdr:rowOff>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91D3222-5C58-76FB-FB63-EF939A9D3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6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952500</xdr:colOff>
      <xdr:row>68</xdr:row>
      <xdr:rowOff>190500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258E643F-46C5-3075-A9C1-4A99AD31B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589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952500</xdr:colOff>
      <xdr:row>76</xdr:row>
      <xdr:rowOff>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B86D9480-EBA6-2319-7D6A-2A37136AE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876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952500</xdr:colOff>
      <xdr:row>80</xdr:row>
      <xdr:rowOff>190500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830EE445-C74B-36AD-901B-E4BF69692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01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952500</xdr:colOff>
      <xdr:row>88</xdr:row>
      <xdr:rowOff>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862EA9A-CEB1-6093-A429-7C3A36D0D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68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952500</xdr:colOff>
      <xdr:row>92</xdr:row>
      <xdr:rowOff>190500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D46E8551-8D8F-29B1-0ADD-CD3C191B3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214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952500</xdr:colOff>
      <xdr:row>100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564F890-297B-8F6E-3B10-1D15FB515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50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952500</xdr:colOff>
      <xdr:row>104</xdr:row>
      <xdr:rowOff>190500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6479249-A86B-2214-69E7-FF4708DF6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027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952500</xdr:colOff>
      <xdr:row>112</xdr:row>
      <xdr:rowOff>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5EC87A5-5A80-74A4-4CAE-6F7CF896E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1905000</xdr:colOff>
      <xdr:row>120</xdr:row>
      <xdr:rowOff>85725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801E2227-15F5-2A72-A887-FC6E428AE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8400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952500</xdr:colOff>
      <xdr:row>124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1EA3BA4E-A23E-77B7-F94B-75E6B1F69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12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952500</xdr:colOff>
      <xdr:row>128</xdr:row>
      <xdr:rowOff>190500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75B7EBC7-3F71-777A-ADBC-8F11623E1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65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952500</xdr:colOff>
      <xdr:row>136</xdr:row>
      <xdr:rowOff>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7D41E45C-DCD3-164F-FF9E-F81101282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94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952500</xdr:colOff>
      <xdr:row>140</xdr:row>
      <xdr:rowOff>190500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8F3346BA-37C2-5435-95C3-619BFFA6A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65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1905000</xdr:colOff>
      <xdr:row>152</xdr:row>
      <xdr:rowOff>190500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6820BA40-41CC-BFED-18FE-DDF9B6379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7532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952500</xdr:colOff>
      <xdr:row>152</xdr:row>
      <xdr:rowOff>190500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7C60757B-5707-5954-BF2B-BFD95BF41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27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952500</xdr:colOff>
      <xdr:row>160</xdr:row>
      <xdr:rowOff>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71BCD6B9-7DF2-FF20-3A18-BC02154D7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56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952500</xdr:colOff>
      <xdr:row>164</xdr:row>
      <xdr:rowOff>190500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351EF7D2-3C81-C349-EB44-F55682C56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091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168</xdr:row>
      <xdr:rowOff>0</xdr:rowOff>
    </xdr:from>
    <xdr:to>
      <xdr:col>0</xdr:col>
      <xdr:colOff>952500</xdr:colOff>
      <xdr:row>173</xdr:row>
      <xdr:rowOff>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A36BD799-8566-6405-031E-4EB59CDA5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061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173</xdr:row>
      <xdr:rowOff>0</xdr:rowOff>
    </xdr:from>
    <xdr:to>
      <xdr:col>0</xdr:col>
      <xdr:colOff>952500</xdr:colOff>
      <xdr:row>178</xdr:row>
      <xdr:rowOff>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9AA65D2-0C10-98BE-1D64-75562BB38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14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952500</xdr:colOff>
      <xdr:row>14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0E58194-245A-8E51-17BA-CC14984846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952500</xdr:colOff>
      <xdr:row>18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B9A8E1-2CE3-4624-37AF-CA421D4E9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5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952500</xdr:colOff>
      <xdr:row>28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B0A18F9-ABD4-D59C-D404-DD621A1C0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2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952500</xdr:colOff>
      <xdr:row>32</xdr:row>
      <xdr:rowOff>190500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3E453F3-454B-C695-334B-B60D94BB8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50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1905000</xdr:colOff>
      <xdr:row>44</xdr:row>
      <xdr:rowOff>190500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2109A46-97C4-A9B9-5738-44C373BB4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385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1905000</xdr:colOff>
      <xdr:row>48</xdr:row>
      <xdr:rowOff>85725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A51ABDE-E3AC-8916-28F9-90E00BCCD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635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952500</xdr:colOff>
      <xdr:row>52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C064711-29B6-B2F5-D05A-3F7F53768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25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952500</xdr:colOff>
      <xdr:row>56</xdr:row>
      <xdr:rowOff>190500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554352A-61E5-2AF0-1B59-D6544B8A2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776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1905000</xdr:colOff>
      <xdr:row>68</xdr:row>
      <xdr:rowOff>190500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8F1FEE9A-EBA6-5F73-246F-894885086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640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952500</xdr:colOff>
      <xdr:row>68</xdr:row>
      <xdr:rowOff>190500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74A404B0-7910-385A-0D94-DED52F6D6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589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952500</xdr:colOff>
      <xdr:row>76</xdr:row>
      <xdr:rowOff>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EFABFE15-626C-643E-2BC6-8B0B42CBF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876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952500</xdr:colOff>
      <xdr:row>80</xdr:row>
      <xdr:rowOff>190500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BDB4348-7945-EAD2-8328-63A4ABFB8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01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952500</xdr:colOff>
      <xdr:row>88</xdr:row>
      <xdr:rowOff>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D8623FD-D1BB-0586-5106-D24D104BA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68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952500</xdr:colOff>
      <xdr:row>92</xdr:row>
      <xdr:rowOff>190500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600FE2F3-1B81-712F-3ECD-8A7AEF352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214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952500</xdr:colOff>
      <xdr:row>100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CA2A665B-89F0-A3EE-5835-8460ECF22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50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952500</xdr:colOff>
      <xdr:row>104</xdr:row>
      <xdr:rowOff>190500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7E66F51-E50D-8B4B-B418-2531EEB01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027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952500</xdr:colOff>
      <xdr:row>112</xdr:row>
      <xdr:rowOff>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68EDD9A-2566-9930-CDA0-D9875A233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952500</xdr:colOff>
      <xdr:row>116</xdr:row>
      <xdr:rowOff>190500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8E9589AC-DC30-825E-8F1C-794697C6E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952500</xdr:colOff>
      <xdr:row>124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E6D4D4E7-D042-2DDC-FF9A-52F5412FB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12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952500</xdr:colOff>
      <xdr:row>128</xdr:row>
      <xdr:rowOff>190500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E629CD8B-AE4A-565C-15CD-A51C374DE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65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952500</xdr:colOff>
      <xdr:row>136</xdr:row>
      <xdr:rowOff>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0D61CF09-7559-3B3D-BD0F-ECA5C7BC2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94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952500</xdr:colOff>
      <xdr:row>140</xdr:row>
      <xdr:rowOff>190500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405BA730-F28C-2795-E123-AA5D766B7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65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952500</xdr:colOff>
      <xdr:row>148</xdr:row>
      <xdr:rowOff>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4C18C95A-28AC-CAC7-59D1-C8436B8C8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75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952500</xdr:colOff>
      <xdr:row>152</xdr:row>
      <xdr:rowOff>190500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FD6AFFFA-A80B-6941-1D4A-A85E9BEDB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27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952500</xdr:colOff>
      <xdr:row>160</xdr:row>
      <xdr:rowOff>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B95AFF38-7862-CCD0-B96B-714CF7138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56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952500</xdr:colOff>
      <xdr:row>164</xdr:row>
      <xdr:rowOff>190500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9D7E2985-EDD5-DE57-759F-1ACB716BF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091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952500</xdr:colOff>
      <xdr:row>172</xdr:row>
      <xdr:rowOff>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EE7F53EC-B867-A419-3B74-871E205FC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378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952500</xdr:colOff>
      <xdr:row>176</xdr:row>
      <xdr:rowOff>190500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A9BA9BA1-1F4E-5D11-4BD2-750B52589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903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952500</xdr:colOff>
      <xdr:row>184</xdr:row>
      <xdr:rowOff>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BAF5D473-A599-54E3-9665-B8993C932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191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952500</xdr:colOff>
      <xdr:row>188</xdr:row>
      <xdr:rowOff>190500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943623C2-8AA7-09C1-0507-A9368DA414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716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952500</xdr:colOff>
      <xdr:row>197</xdr:row>
      <xdr:rowOff>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C3C5C7FE-68D1-8CA7-0FFF-A87AA567A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24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952500</xdr:colOff>
      <xdr:row>202</xdr:row>
      <xdr:rowOff>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5B1A8A65-4657-FDAA-7627-84FEE347F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76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952500</xdr:colOff>
      <xdr:row>14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E51BD9-8946-4513-57BF-FF65A0D36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952500</xdr:colOff>
      <xdr:row>18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9B19095-EDA6-E812-82C8-8AD447E19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5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952500</xdr:colOff>
      <xdr:row>28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71F7552-9F53-2B48-94DF-FB7C38371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62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952500</xdr:colOff>
      <xdr:row>32</xdr:row>
      <xdr:rowOff>190500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F4A05DE9-E5AE-C25E-CBA3-7AAC24F23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3150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952500</xdr:colOff>
      <xdr:row>40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F4836F51-6058-4DE6-10AB-E8AE79485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9438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1905000</xdr:colOff>
      <xdr:row>48</xdr:row>
      <xdr:rowOff>85725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D6AED28B-1999-B9E9-CEBB-82B3E7854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89635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1905000</xdr:colOff>
      <xdr:row>56</xdr:row>
      <xdr:rowOff>190500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B203E7A-C63B-971A-B3A9-E3E9DF3B7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2512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952500</xdr:colOff>
      <xdr:row>56</xdr:row>
      <xdr:rowOff>190500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BC8EB602-D35F-1B01-10A9-C02DAB47A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776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952500</xdr:colOff>
      <xdr:row>64</xdr:row>
      <xdr:rowOff>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A27169D0-0A2C-795F-356D-C1FEB7C8A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6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952500</xdr:colOff>
      <xdr:row>68</xdr:row>
      <xdr:rowOff>190500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BCE30A7B-B1FD-5859-BCAE-E39B2AE5E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589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952500</xdr:colOff>
      <xdr:row>76</xdr:row>
      <xdr:rowOff>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16E832E-B932-E646-90E3-CF596B513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876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952500</xdr:colOff>
      <xdr:row>80</xdr:row>
      <xdr:rowOff>190500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3B2F3139-DE36-B20A-4166-1B83F7EC75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01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952500</xdr:colOff>
      <xdr:row>88</xdr:row>
      <xdr:rowOff>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205CF0C8-35CD-8C11-E8B6-759C94D8F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68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952500</xdr:colOff>
      <xdr:row>92</xdr:row>
      <xdr:rowOff>190500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9CE0234-11FC-A21F-7A26-CDA9E2AD5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214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952500</xdr:colOff>
      <xdr:row>100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A861CDA-82DE-BB88-B74A-B4BB207FE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50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952500</xdr:colOff>
      <xdr:row>104</xdr:row>
      <xdr:rowOff>190500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45EAC7F4-31CB-2BC3-4435-D004E8355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027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952500</xdr:colOff>
      <xdr:row>112</xdr:row>
      <xdr:rowOff>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2C444A0-69D6-5F06-AF93-A91191D96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952500</xdr:colOff>
      <xdr:row>116</xdr:row>
      <xdr:rowOff>190500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4071DD9-EA8D-7959-48B8-7D7C61EB2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952500</xdr:colOff>
      <xdr:row>124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BD0ADD5F-834A-0589-F5B7-04FC3F041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12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1905000</xdr:colOff>
      <xdr:row>132</xdr:row>
      <xdr:rowOff>85725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1C53F63E-B3C6-BA57-FFA2-54645A1D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6527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952500</xdr:colOff>
      <xdr:row>136</xdr:row>
      <xdr:rowOff>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456396D4-C0D5-6683-E2F8-6C2460F38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94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952500</xdr:colOff>
      <xdr:row>140</xdr:row>
      <xdr:rowOff>190500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8BBFBC22-8CD1-90CA-A62D-784202AD5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65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952500</xdr:colOff>
      <xdr:row>148</xdr:row>
      <xdr:rowOff>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99A1CCAB-B789-9335-3BB3-30BA80957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75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952500</xdr:colOff>
      <xdr:row>152</xdr:row>
      <xdr:rowOff>190500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7B3B9520-B4AE-48CA-8504-2E59985D5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27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952500</xdr:colOff>
      <xdr:row>160</xdr:row>
      <xdr:rowOff>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4F5AC336-5B5A-C06E-61B4-C06BA6A01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56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952500</xdr:colOff>
      <xdr:row>164</xdr:row>
      <xdr:rowOff>190500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172CB3AB-9A41-3619-FDCB-A67644CC1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091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952500</xdr:colOff>
      <xdr:row>172</xdr:row>
      <xdr:rowOff>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00149B6E-7DB7-90A6-B285-C8F625559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378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952500</xdr:colOff>
      <xdr:row>176</xdr:row>
      <xdr:rowOff>190500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1FFEDE3D-16BA-4D70-2351-7688BB540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903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952500</xdr:colOff>
      <xdr:row>184</xdr:row>
      <xdr:rowOff>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D99682E5-FFD3-4267-D42F-0511B56C2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191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952500</xdr:colOff>
      <xdr:row>188</xdr:row>
      <xdr:rowOff>190500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6627325-0A56-3B18-429F-32100A219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716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952500</xdr:colOff>
      <xdr:row>197</xdr:row>
      <xdr:rowOff>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C8C6AA75-278F-32FB-11B9-13E3C0E42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24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952500</xdr:colOff>
      <xdr:row>202</xdr:row>
      <xdr:rowOff>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8F2117E0-6952-43DD-0896-C62EBFCC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76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952500</xdr:colOff>
      <xdr:row>14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A3F561-A765-CF22-715C-3E726C38A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952500</xdr:colOff>
      <xdr:row>18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0982C75-4DF5-BEFA-682F-73748B0C2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5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952500</xdr:colOff>
      <xdr:row>27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E4B2CFF-0207-CC1F-B45E-FAF774C5F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58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952500</xdr:colOff>
      <xdr:row>31</xdr:row>
      <xdr:rowOff>190500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E2F31DF5-CAEA-68F2-DA40-8090161B9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83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952500</xdr:colOff>
      <xdr:row>39</xdr:row>
      <xdr:rowOff>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11F2AE4-2A27-31B1-83E6-BD3231A73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770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952500</xdr:colOff>
      <xdr:row>43</xdr:row>
      <xdr:rowOff>190500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56E25040-B331-6DD7-25EB-3394593F1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29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952500</xdr:colOff>
      <xdr:row>52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2E4B0DD-9122-1CAC-BA6C-590E68D66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525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952500</xdr:colOff>
      <xdr:row>56</xdr:row>
      <xdr:rowOff>190500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883DBD31-1786-DB47-A369-A2D842E4B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776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952500</xdr:colOff>
      <xdr:row>64</xdr:row>
      <xdr:rowOff>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43C56932-D01F-A918-45B0-F25F90CC4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06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952500</xdr:colOff>
      <xdr:row>68</xdr:row>
      <xdr:rowOff>190500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A30EC93-2996-97A1-E692-05E385D66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0589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952500</xdr:colOff>
      <xdr:row>76</xdr:row>
      <xdr:rowOff>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373389E-2DC3-16C2-FD73-7EA2835FB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6876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1905000</xdr:colOff>
      <xdr:row>84</xdr:row>
      <xdr:rowOff>85725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17730A40-2F9F-83EB-1E79-2C5B85122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64017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952500</xdr:colOff>
      <xdr:row>88</xdr:row>
      <xdr:rowOff>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D4A3C572-E521-2BA6-BB86-D9CCDAAA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268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1905000</xdr:colOff>
      <xdr:row>96</xdr:row>
      <xdr:rowOff>85725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B49C91DB-65B8-8CAD-5D42-FE0A12CA4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22145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952500</xdr:colOff>
      <xdr:row>100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4481FDF9-D60A-ECFE-15ED-3D75C99DA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50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952500</xdr:colOff>
      <xdr:row>104</xdr:row>
      <xdr:rowOff>190500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F9A4B5A4-7329-609C-5237-58850ED6D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027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107</xdr:row>
      <xdr:rowOff>0</xdr:rowOff>
    </xdr:from>
    <xdr:to>
      <xdr:col>0</xdr:col>
      <xdr:colOff>952500</xdr:colOff>
      <xdr:row>112</xdr:row>
      <xdr:rowOff>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C5A0AFFE-4EB4-B5EF-1AC0-4203827C6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431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112</xdr:row>
      <xdr:rowOff>0</xdr:rowOff>
    </xdr:from>
    <xdr:to>
      <xdr:col>0</xdr:col>
      <xdr:colOff>952500</xdr:colOff>
      <xdr:row>116</xdr:row>
      <xdr:rowOff>190500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125EBC1-CC84-5C64-06D8-EA26CA1E6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384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952500</xdr:colOff>
      <xdr:row>124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0F3C0099-1B77-0D81-B2FA-5B80FF5A0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12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952500</xdr:colOff>
      <xdr:row>128</xdr:row>
      <xdr:rowOff>190500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5F74AF5-1EF9-204F-4288-BB2779F9E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965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131</xdr:row>
      <xdr:rowOff>0</xdr:rowOff>
    </xdr:from>
    <xdr:to>
      <xdr:col>0</xdr:col>
      <xdr:colOff>952500</xdr:colOff>
      <xdr:row>136</xdr:row>
      <xdr:rowOff>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7AB8FC1A-D228-6EC6-1CA3-33F1E4259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94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136</xdr:row>
      <xdr:rowOff>0</xdr:rowOff>
    </xdr:from>
    <xdr:to>
      <xdr:col>0</xdr:col>
      <xdr:colOff>952500</xdr:colOff>
      <xdr:row>140</xdr:row>
      <xdr:rowOff>190500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531AB376-4AD1-D849-D162-CB07046FF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465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0</xdr:col>
      <xdr:colOff>952500</xdr:colOff>
      <xdr:row>148</xdr:row>
      <xdr:rowOff>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0AFC6748-3B5B-DD88-8504-02E8AB70D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175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0</xdr:col>
      <xdr:colOff>952500</xdr:colOff>
      <xdr:row>152</xdr:row>
      <xdr:rowOff>190500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CB4A4ACC-2ACD-1652-3B52-CED557C7A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127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155</xdr:row>
      <xdr:rowOff>0</xdr:rowOff>
    </xdr:from>
    <xdr:to>
      <xdr:col>0</xdr:col>
      <xdr:colOff>952500</xdr:colOff>
      <xdr:row>160</xdr:row>
      <xdr:rowOff>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03C45942-8D1A-C104-3043-E808FE4EF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7566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160</xdr:row>
      <xdr:rowOff>0</xdr:rowOff>
    </xdr:from>
    <xdr:to>
      <xdr:col>0</xdr:col>
      <xdr:colOff>952500</xdr:colOff>
      <xdr:row>164</xdr:row>
      <xdr:rowOff>190500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270CFB64-6CD8-32B5-EA1C-EFAB6F8D2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47091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0</xdr:col>
      <xdr:colOff>952500</xdr:colOff>
      <xdr:row>172</xdr:row>
      <xdr:rowOff>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8E7E7FEE-13F1-F282-B990-083CC60EA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3378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952500</xdr:colOff>
      <xdr:row>176</xdr:row>
      <xdr:rowOff>190500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618E4749-9AC9-5A39-5604-E83B15BF3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2903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179</xdr:row>
      <xdr:rowOff>0</xdr:rowOff>
    </xdr:from>
    <xdr:to>
      <xdr:col>0</xdr:col>
      <xdr:colOff>1905000</xdr:colOff>
      <xdr:row>188</xdr:row>
      <xdr:rowOff>190500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866615A4-6526-8EE0-AB9E-7051CB8A0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1915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184</xdr:row>
      <xdr:rowOff>0</xdr:rowOff>
    </xdr:from>
    <xdr:to>
      <xdr:col>0</xdr:col>
      <xdr:colOff>952500</xdr:colOff>
      <xdr:row>188</xdr:row>
      <xdr:rowOff>190500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6041DE64-75FC-4D87-B15D-5A4F7487C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716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192</xdr:row>
      <xdr:rowOff>0</xdr:rowOff>
    </xdr:from>
    <xdr:to>
      <xdr:col>0</xdr:col>
      <xdr:colOff>952500</xdr:colOff>
      <xdr:row>197</xdr:row>
      <xdr:rowOff>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8AAE8B8A-25BF-5540-E745-DB43F7EC7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224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0</xdr:col>
      <xdr:colOff>952500</xdr:colOff>
      <xdr:row>202</xdr:row>
      <xdr:rowOff>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94977587-7AA3-0744-3922-1791B5998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176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952500</xdr:colOff>
      <xdr:row>14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F453500-5607-CD26-A068-223A283C53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240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952500</xdr:colOff>
      <xdr:row>18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1F6EBE-1F50-91B1-519A-18F610A53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765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952500</xdr:colOff>
      <xdr:row>27</xdr:row>
      <xdr:rowOff>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615F21F-E0F5-4757-71A2-8E6F9A082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4958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952500</xdr:colOff>
      <xdr:row>31</xdr:row>
      <xdr:rowOff>190500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7986123-C705-EFB3-417A-BC2DC1F6D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483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1905000</xdr:colOff>
      <xdr:row>43</xdr:row>
      <xdr:rowOff>190500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709D15F-4E98-2C0D-A922-5AB3BA6D3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07707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952500</xdr:colOff>
      <xdr:row>43</xdr:row>
      <xdr:rowOff>190500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F858A01E-9568-B966-4851-3B9D2D721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0295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952500</xdr:colOff>
      <xdr:row>51</xdr:row>
      <xdr:rowOff>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34A9A17-3446-B639-4B4A-8BB4BE51A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6583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952500</xdr:colOff>
      <xdr:row>55</xdr:row>
      <xdr:rowOff>190500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F8053E81-B8BA-0401-F666-5D6E09324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6108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952500</xdr:colOff>
      <xdr:row>63</xdr:row>
      <xdr:rowOff>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2D6968A-E4F5-9591-7636-242A87BB5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2396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952500</xdr:colOff>
      <xdr:row>67</xdr:row>
      <xdr:rowOff>190500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770D074-FD1D-52CD-246B-A3C407B69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1921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952500</xdr:colOff>
      <xdr:row>75</xdr:row>
      <xdr:rowOff>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3C813D01-FC06-D897-4362-15B538A33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8209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952500</xdr:colOff>
      <xdr:row>79</xdr:row>
      <xdr:rowOff>190500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4F4CC090-5DA4-4415-E128-2D2A22769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7734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952500</xdr:colOff>
      <xdr:row>87</xdr:row>
      <xdr:rowOff>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AA9DE1AE-9EDF-3604-8E8D-850536493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4021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952500</xdr:colOff>
      <xdr:row>91</xdr:row>
      <xdr:rowOff>190500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AD517214-6A4E-0E32-5B58-F91878F95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3546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952500</xdr:colOff>
      <xdr:row>99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8A8353CF-F2F0-5141-DEAB-9B9D09353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834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952500</xdr:colOff>
      <xdr:row>103</xdr:row>
      <xdr:rowOff>190500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B5DDE3FC-ECCA-DD6D-DBE3-7EE385DD6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359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0</xdr:col>
      <xdr:colOff>1905000</xdr:colOff>
      <xdr:row>115</xdr:row>
      <xdr:rowOff>190500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F1FA0EA5-DD45-E115-50AD-9AE6D0CDE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564725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111</xdr:row>
      <xdr:rowOff>0</xdr:rowOff>
    </xdr:from>
    <xdr:to>
      <xdr:col>0</xdr:col>
      <xdr:colOff>952500</xdr:colOff>
      <xdr:row>115</xdr:row>
      <xdr:rowOff>190500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4CFE0BC-E71D-4955-D9BB-42270C5FA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5172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0</xdr:col>
      <xdr:colOff>952500</xdr:colOff>
      <xdr:row>123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212A8F1-8D20-0911-BEBC-4FF060FB0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1460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0</xdr:col>
      <xdr:colOff>952500</xdr:colOff>
      <xdr:row>127</xdr:row>
      <xdr:rowOff>190500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A39B14A8-DCEA-CF92-6CA0-1971D708F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0985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130</xdr:row>
      <xdr:rowOff>0</xdr:rowOff>
    </xdr:from>
    <xdr:to>
      <xdr:col>0</xdr:col>
      <xdr:colOff>952500</xdr:colOff>
      <xdr:row>135</xdr:row>
      <xdr:rowOff>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1EE343D4-EA0A-A221-A8FC-DD8A65BA8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7272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135</xdr:row>
      <xdr:rowOff>0</xdr:rowOff>
    </xdr:from>
    <xdr:to>
      <xdr:col>0</xdr:col>
      <xdr:colOff>952500</xdr:colOff>
      <xdr:row>139</xdr:row>
      <xdr:rowOff>190500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AD097503-3DE0-37B1-E49A-89D01D8A4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6797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0</xdr:col>
      <xdr:colOff>952500</xdr:colOff>
      <xdr:row>147</xdr:row>
      <xdr:rowOff>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4BB9E12-0A3A-5208-1D19-9020B417A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3085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0</xdr:col>
      <xdr:colOff>952500</xdr:colOff>
      <xdr:row>151</xdr:row>
      <xdr:rowOff>190500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8F9EE90C-C917-6BD8-72DD-9F26313AD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12610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952500</xdr:colOff>
      <xdr:row>159</xdr:row>
      <xdr:rowOff>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CE91FED8-4426-7729-B954-F8B8249B0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28898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159</xdr:row>
      <xdr:rowOff>0</xdr:rowOff>
    </xdr:from>
    <xdr:to>
      <xdr:col>0</xdr:col>
      <xdr:colOff>952500</xdr:colOff>
      <xdr:row>163</xdr:row>
      <xdr:rowOff>190500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4EA12108-A957-9712-A3BA-5FFAD2DA2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384232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0</xdr:col>
      <xdr:colOff>952500</xdr:colOff>
      <xdr:row>171</xdr:row>
      <xdr:rowOff>0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32932718-74B2-DABF-9115-BCBAFFCF6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547110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171</xdr:row>
      <xdr:rowOff>0</xdr:rowOff>
    </xdr:from>
    <xdr:to>
      <xdr:col>0</xdr:col>
      <xdr:colOff>1905000</xdr:colOff>
      <xdr:row>179</xdr:row>
      <xdr:rowOff>85725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9657409-1B82-9882-87C3-0ED7BF027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423600"/>
          <a:ext cx="1905000" cy="1905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178</xdr:row>
      <xdr:rowOff>0</xdr:rowOff>
    </xdr:from>
    <xdr:to>
      <xdr:col>0</xdr:col>
      <xdr:colOff>952500</xdr:colOff>
      <xdr:row>183</xdr:row>
      <xdr:rowOff>0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AF31480F-8A40-CFEB-709E-9C4A7EA07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0523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183</xdr:row>
      <xdr:rowOff>0</xdr:rowOff>
    </xdr:from>
    <xdr:to>
      <xdr:col>0</xdr:col>
      <xdr:colOff>952500</xdr:colOff>
      <xdr:row>187</xdr:row>
      <xdr:rowOff>190500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45F7DDF3-007D-7B09-132C-EECF632B8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004875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190</xdr:row>
      <xdr:rowOff>0</xdr:rowOff>
    </xdr:from>
    <xdr:to>
      <xdr:col>0</xdr:col>
      <xdr:colOff>952500</xdr:colOff>
      <xdr:row>195</xdr:row>
      <xdr:rowOff>0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79B2B711-9503-AFD9-50F0-DF6EC1289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06336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195</xdr:row>
      <xdr:rowOff>0</xdr:rowOff>
    </xdr:from>
    <xdr:to>
      <xdr:col>0</xdr:col>
      <xdr:colOff>952500</xdr:colOff>
      <xdr:row>200</xdr:row>
      <xdr:rowOff>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F386B661-9EB6-9465-449F-FE667E98E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586150"/>
          <a:ext cx="952500" cy="952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resandodds.com/nfl/teams/panthers" TargetMode="External"/><Relationship Id="rId18" Type="http://schemas.openxmlformats.org/officeDocument/2006/relationships/hyperlink" Target="https://www.scoresandodds.com/nfl/teams/falcons" TargetMode="External"/><Relationship Id="rId26" Type="http://schemas.openxmlformats.org/officeDocument/2006/relationships/hyperlink" Target="https://www.scoresandodds.com/nfl/teams/browns" TargetMode="External"/><Relationship Id="rId39" Type="http://schemas.openxmlformats.org/officeDocument/2006/relationships/drawing" Target="../drawings/drawing1.xml"/><Relationship Id="rId21" Type="http://schemas.openxmlformats.org/officeDocument/2006/relationships/hyperlink" Target="https://www.scoresandodds.com/nfl/teams/steelers" TargetMode="External"/><Relationship Id="rId34" Type="http://schemas.openxmlformats.org/officeDocument/2006/relationships/hyperlink" Target="https://www.scoresandodds.com/nfl/teams/rams" TargetMode="External"/><Relationship Id="rId7" Type="http://schemas.openxmlformats.org/officeDocument/2006/relationships/hyperlink" Target="https://www.scoresandodds.com/nfl/teams/cowboys" TargetMode="External"/><Relationship Id="rId12" Type="http://schemas.openxmlformats.org/officeDocument/2006/relationships/hyperlink" Target="https://www.scoresandodds.com/nfl/teams/commanders" TargetMode="External"/><Relationship Id="rId17" Type="http://schemas.openxmlformats.org/officeDocument/2006/relationships/hyperlink" Target="https://www.scoresandodds.com/nfl/teams/buccaneers" TargetMode="External"/><Relationship Id="rId25" Type="http://schemas.openxmlformats.org/officeDocument/2006/relationships/hyperlink" Target="https://www.scoresandodds.com/nfl/teams/bengals" TargetMode="External"/><Relationship Id="rId33" Type="http://schemas.openxmlformats.org/officeDocument/2006/relationships/hyperlink" Target="https://www.scoresandodds.com/nfl/teams/texans" TargetMode="External"/><Relationship Id="rId38" Type="http://schemas.openxmlformats.org/officeDocument/2006/relationships/hyperlink" Target="https://www.scoresandodds.com/nfl/teams/bears" TargetMode="External"/><Relationship Id="rId2" Type="http://schemas.openxmlformats.org/officeDocument/2006/relationships/hyperlink" Target="https://www.scoresandodds.com/nfl/consensus-picks" TargetMode="External"/><Relationship Id="rId16" Type="http://schemas.openxmlformats.org/officeDocument/2006/relationships/hyperlink" Target="https://www.scoresandodds.com/nfl/teams/colts" TargetMode="External"/><Relationship Id="rId20" Type="http://schemas.openxmlformats.org/officeDocument/2006/relationships/hyperlink" Target="https://www.scoresandodds.com/nfl/teams/saints" TargetMode="External"/><Relationship Id="rId29" Type="http://schemas.openxmlformats.org/officeDocument/2006/relationships/hyperlink" Target="https://www.scoresandodds.com/nfl/teams/titans" TargetMode="External"/><Relationship Id="rId1" Type="http://schemas.openxmlformats.org/officeDocument/2006/relationships/hyperlink" Target="https://www.scoresandodds.com/nfl/odds" TargetMode="External"/><Relationship Id="rId6" Type="http://schemas.openxmlformats.org/officeDocument/2006/relationships/hyperlink" Target="https://www.scoresandodds.com/nfl/picks" TargetMode="External"/><Relationship Id="rId11" Type="http://schemas.openxmlformats.org/officeDocument/2006/relationships/hyperlink" Target="https://www.scoresandodds.com/nfl/teams/giants" TargetMode="External"/><Relationship Id="rId24" Type="http://schemas.openxmlformats.org/officeDocument/2006/relationships/hyperlink" Target="https://www.scoresandodds.com/nfl/teams/patriots" TargetMode="External"/><Relationship Id="rId32" Type="http://schemas.openxmlformats.org/officeDocument/2006/relationships/hyperlink" Target="https://www.scoresandodds.com/nfl/teams/packers" TargetMode="External"/><Relationship Id="rId37" Type="http://schemas.openxmlformats.org/officeDocument/2006/relationships/hyperlink" Target="https://www.scoresandodds.com/nfl/teams/vikings" TargetMode="External"/><Relationship Id="rId5" Type="http://schemas.openxmlformats.org/officeDocument/2006/relationships/hyperlink" Target="https://www.scoresandodds.com/nfl/parlays" TargetMode="External"/><Relationship Id="rId15" Type="http://schemas.openxmlformats.org/officeDocument/2006/relationships/hyperlink" Target="https://www.scoresandodds.com/nfl/teams/dolphins" TargetMode="External"/><Relationship Id="rId23" Type="http://schemas.openxmlformats.org/officeDocument/2006/relationships/hyperlink" Target="https://www.scoresandodds.com/nfl/teams/raiders" TargetMode="External"/><Relationship Id="rId28" Type="http://schemas.openxmlformats.org/officeDocument/2006/relationships/hyperlink" Target="https://www.scoresandodds.com/nfl/teams/seahawks" TargetMode="External"/><Relationship Id="rId36" Type="http://schemas.openxmlformats.org/officeDocument/2006/relationships/hyperlink" Target="https://www.scoresandodds.com/nfl/teams/bills" TargetMode="External"/><Relationship Id="rId10" Type="http://schemas.openxmlformats.org/officeDocument/2006/relationships/hyperlink" Target="https://www.scoresandodds.com/nfl/teams/chargers" TargetMode="External"/><Relationship Id="rId19" Type="http://schemas.openxmlformats.org/officeDocument/2006/relationships/hyperlink" Target="https://www.scoresandodds.com/nfl/teams/cardinals" TargetMode="External"/><Relationship Id="rId31" Type="http://schemas.openxmlformats.org/officeDocument/2006/relationships/hyperlink" Target="https://www.scoresandodds.com/nfl/teams/lions" TargetMode="External"/><Relationship Id="rId4" Type="http://schemas.openxmlformats.org/officeDocument/2006/relationships/hyperlink" Target="https://www.scoresandodds.com/nfl/props" TargetMode="External"/><Relationship Id="rId9" Type="http://schemas.openxmlformats.org/officeDocument/2006/relationships/hyperlink" Target="https://www.scoresandodds.com/nfl/teams/chiefs" TargetMode="External"/><Relationship Id="rId14" Type="http://schemas.openxmlformats.org/officeDocument/2006/relationships/hyperlink" Target="https://www.scoresandodds.com/nfl/teams/jaguars" TargetMode="External"/><Relationship Id="rId22" Type="http://schemas.openxmlformats.org/officeDocument/2006/relationships/hyperlink" Target="https://www.scoresandodds.com/nfl/teams/jets" TargetMode="External"/><Relationship Id="rId27" Type="http://schemas.openxmlformats.org/officeDocument/2006/relationships/hyperlink" Target="https://www.scoresandodds.com/nfl/teams/49ers" TargetMode="External"/><Relationship Id="rId30" Type="http://schemas.openxmlformats.org/officeDocument/2006/relationships/hyperlink" Target="https://www.scoresandodds.com/nfl/teams/broncos" TargetMode="External"/><Relationship Id="rId35" Type="http://schemas.openxmlformats.org/officeDocument/2006/relationships/hyperlink" Target="https://www.scoresandodds.com/nfl/teams/ravens" TargetMode="External"/><Relationship Id="rId8" Type="http://schemas.openxmlformats.org/officeDocument/2006/relationships/hyperlink" Target="https://www.scoresandodds.com/nfl/teams/eagles" TargetMode="External"/><Relationship Id="rId3" Type="http://schemas.openxmlformats.org/officeDocument/2006/relationships/hyperlink" Target="https://www.scoresandodds.com/nfl/more-lines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resandodds.com/nfl/teams/giants" TargetMode="External"/><Relationship Id="rId18" Type="http://schemas.openxmlformats.org/officeDocument/2006/relationships/hyperlink" Target="https://www.scoresandodds.com/nfl/teams/lions" TargetMode="External"/><Relationship Id="rId26" Type="http://schemas.openxmlformats.org/officeDocument/2006/relationships/hyperlink" Target="https://www.scoresandodds.com/nfl/teams/dolphins" TargetMode="External"/><Relationship Id="rId39" Type="http://schemas.openxmlformats.org/officeDocument/2006/relationships/drawing" Target="../drawings/drawing2.xml"/><Relationship Id="rId21" Type="http://schemas.openxmlformats.org/officeDocument/2006/relationships/hyperlink" Target="https://www.scoresandodds.com/nfl/teams/rams" TargetMode="External"/><Relationship Id="rId34" Type="http://schemas.openxmlformats.org/officeDocument/2006/relationships/hyperlink" Target="https://www.scoresandodds.com/nfl/teams/vikings" TargetMode="External"/><Relationship Id="rId7" Type="http://schemas.openxmlformats.org/officeDocument/2006/relationships/hyperlink" Target="https://www.scoresandodds.com/nfl/teams/commanders" TargetMode="External"/><Relationship Id="rId12" Type="http://schemas.openxmlformats.org/officeDocument/2006/relationships/hyperlink" Target="https://www.scoresandodds.com/nfl/teams/saints" TargetMode="External"/><Relationship Id="rId17" Type="http://schemas.openxmlformats.org/officeDocument/2006/relationships/hyperlink" Target="https://www.scoresandodds.com/nfl/teams/bears" TargetMode="External"/><Relationship Id="rId25" Type="http://schemas.openxmlformats.org/officeDocument/2006/relationships/hyperlink" Target="https://www.scoresandodds.com/nfl/teams/patriots" TargetMode="External"/><Relationship Id="rId33" Type="http://schemas.openxmlformats.org/officeDocument/2006/relationships/hyperlink" Target="https://www.scoresandodds.com/nfl/teams/falcons" TargetMode="External"/><Relationship Id="rId38" Type="http://schemas.openxmlformats.org/officeDocument/2006/relationships/hyperlink" Target="https://www.scoresandodds.com/nfl/teams/raiders" TargetMode="External"/><Relationship Id="rId2" Type="http://schemas.openxmlformats.org/officeDocument/2006/relationships/hyperlink" Target="https://www.scoresandodds.com/nfl/consensus-picks" TargetMode="External"/><Relationship Id="rId16" Type="http://schemas.openxmlformats.org/officeDocument/2006/relationships/hyperlink" Target="https://www.scoresandodds.com/nfl/teams/jets" TargetMode="External"/><Relationship Id="rId20" Type="http://schemas.openxmlformats.org/officeDocument/2006/relationships/hyperlink" Target="https://www.scoresandodds.com/nfl/teams/ravens" TargetMode="External"/><Relationship Id="rId29" Type="http://schemas.openxmlformats.org/officeDocument/2006/relationships/hyperlink" Target="https://www.scoresandodds.com/nfl/teams/broncos" TargetMode="External"/><Relationship Id="rId1" Type="http://schemas.openxmlformats.org/officeDocument/2006/relationships/hyperlink" Target="https://www.scoresandodds.com/nfl/odds" TargetMode="External"/><Relationship Id="rId6" Type="http://schemas.openxmlformats.org/officeDocument/2006/relationships/hyperlink" Target="https://www.scoresandodds.com/nfl/picks" TargetMode="External"/><Relationship Id="rId11" Type="http://schemas.openxmlformats.org/officeDocument/2006/relationships/hyperlink" Target="https://www.scoresandodds.com/nfl/teams/49ers" TargetMode="External"/><Relationship Id="rId24" Type="http://schemas.openxmlformats.org/officeDocument/2006/relationships/hyperlink" Target="https://www.scoresandodds.com/nfl/teams/steelers" TargetMode="External"/><Relationship Id="rId32" Type="http://schemas.openxmlformats.org/officeDocument/2006/relationships/hyperlink" Target="https://www.scoresandodds.com/nfl/teams/chiefs" TargetMode="External"/><Relationship Id="rId37" Type="http://schemas.openxmlformats.org/officeDocument/2006/relationships/hyperlink" Target="https://www.scoresandodds.com/nfl/teams/chargers" TargetMode="External"/><Relationship Id="rId5" Type="http://schemas.openxmlformats.org/officeDocument/2006/relationships/hyperlink" Target="https://www.scoresandodds.com/nfl/parlays" TargetMode="External"/><Relationship Id="rId15" Type="http://schemas.openxmlformats.org/officeDocument/2006/relationships/hyperlink" Target="https://www.scoresandodds.com/nfl/teams/bills" TargetMode="External"/><Relationship Id="rId23" Type="http://schemas.openxmlformats.org/officeDocument/2006/relationships/hyperlink" Target="https://www.scoresandodds.com/nfl/teams/seahawks" TargetMode="External"/><Relationship Id="rId28" Type="http://schemas.openxmlformats.org/officeDocument/2006/relationships/hyperlink" Target="https://www.scoresandodds.com/nfl/teams/cardinals" TargetMode="External"/><Relationship Id="rId36" Type="http://schemas.openxmlformats.org/officeDocument/2006/relationships/hyperlink" Target="https://www.scoresandodds.com/nfl/teams/texans" TargetMode="External"/><Relationship Id="rId10" Type="http://schemas.openxmlformats.org/officeDocument/2006/relationships/hyperlink" Target="https://www.scoresandodds.com/nfl/teams/bengals" TargetMode="External"/><Relationship Id="rId19" Type="http://schemas.openxmlformats.org/officeDocument/2006/relationships/hyperlink" Target="https://www.scoresandodds.com/nfl/teams/browns" TargetMode="External"/><Relationship Id="rId31" Type="http://schemas.openxmlformats.org/officeDocument/2006/relationships/hyperlink" Target="https://www.scoresandodds.com/nfl/teams/eagles" TargetMode="External"/><Relationship Id="rId4" Type="http://schemas.openxmlformats.org/officeDocument/2006/relationships/hyperlink" Target="https://www.scoresandodds.com/nfl/props" TargetMode="External"/><Relationship Id="rId9" Type="http://schemas.openxmlformats.org/officeDocument/2006/relationships/hyperlink" Target="https://www.scoresandodds.com/nfl/teams/jaguars" TargetMode="External"/><Relationship Id="rId14" Type="http://schemas.openxmlformats.org/officeDocument/2006/relationships/hyperlink" Target="https://www.scoresandodds.com/nfl/teams/cowboys" TargetMode="External"/><Relationship Id="rId22" Type="http://schemas.openxmlformats.org/officeDocument/2006/relationships/hyperlink" Target="https://www.scoresandodds.com/nfl/teams/titans" TargetMode="External"/><Relationship Id="rId27" Type="http://schemas.openxmlformats.org/officeDocument/2006/relationships/hyperlink" Target="https://www.scoresandodds.com/nfl/teams/panthers" TargetMode="External"/><Relationship Id="rId30" Type="http://schemas.openxmlformats.org/officeDocument/2006/relationships/hyperlink" Target="https://www.scoresandodds.com/nfl/teams/colts" TargetMode="External"/><Relationship Id="rId35" Type="http://schemas.openxmlformats.org/officeDocument/2006/relationships/hyperlink" Target="https://www.scoresandodds.com/nfl/teams/buccaneers" TargetMode="External"/><Relationship Id="rId8" Type="http://schemas.openxmlformats.org/officeDocument/2006/relationships/hyperlink" Target="https://www.scoresandodds.com/nfl/teams/packers" TargetMode="External"/><Relationship Id="rId3" Type="http://schemas.openxmlformats.org/officeDocument/2006/relationships/hyperlink" Target="https://www.scoresandodds.com/nfl/more-lines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resandodds.com/nfl/teams/rams" TargetMode="External"/><Relationship Id="rId18" Type="http://schemas.openxmlformats.org/officeDocument/2006/relationships/hyperlink" Target="https://www.scoresandodds.com/nfl/teams/browns" TargetMode="External"/><Relationship Id="rId26" Type="http://schemas.openxmlformats.org/officeDocument/2006/relationships/hyperlink" Target="https://www.scoresandodds.com/nfl/teams/vikings" TargetMode="External"/><Relationship Id="rId39" Type="http://schemas.openxmlformats.org/officeDocument/2006/relationships/drawing" Target="../drawings/drawing3.xml"/><Relationship Id="rId21" Type="http://schemas.openxmlformats.org/officeDocument/2006/relationships/hyperlink" Target="https://www.scoresandodds.com/nfl/teams/colts" TargetMode="External"/><Relationship Id="rId34" Type="http://schemas.openxmlformats.org/officeDocument/2006/relationships/hyperlink" Target="https://www.scoresandodds.com/nfl/teams/49ers" TargetMode="External"/><Relationship Id="rId7" Type="http://schemas.openxmlformats.org/officeDocument/2006/relationships/hyperlink" Target="https://www.scoresandodds.com/nfl/teams/dolphins" TargetMode="External"/><Relationship Id="rId12" Type="http://schemas.openxmlformats.org/officeDocument/2006/relationships/hyperlink" Target="https://www.scoresandodds.com/nfl/teams/commanders" TargetMode="External"/><Relationship Id="rId17" Type="http://schemas.openxmlformats.org/officeDocument/2006/relationships/hyperlink" Target="https://www.scoresandodds.com/nfl/teams/packers" TargetMode="External"/><Relationship Id="rId25" Type="http://schemas.openxmlformats.org/officeDocument/2006/relationships/hyperlink" Target="https://www.scoresandodds.com/nfl/teams/bengals" TargetMode="External"/><Relationship Id="rId33" Type="http://schemas.openxmlformats.org/officeDocument/2006/relationships/hyperlink" Target="https://www.scoresandodds.com/nfl/teams/cardinals" TargetMode="External"/><Relationship Id="rId38" Type="http://schemas.openxmlformats.org/officeDocument/2006/relationships/hyperlink" Target="https://www.scoresandodds.com/nfl/teams/ravens" TargetMode="External"/><Relationship Id="rId2" Type="http://schemas.openxmlformats.org/officeDocument/2006/relationships/hyperlink" Target="https://www.scoresandodds.com/nfl/consensus-picks" TargetMode="External"/><Relationship Id="rId16" Type="http://schemas.openxmlformats.org/officeDocument/2006/relationships/hyperlink" Target="https://www.scoresandodds.com/nfl/teams/patriots" TargetMode="External"/><Relationship Id="rId20" Type="http://schemas.openxmlformats.org/officeDocument/2006/relationships/hyperlink" Target="https://www.scoresandodds.com/nfl/teams/panthers" TargetMode="External"/><Relationship Id="rId29" Type="http://schemas.openxmlformats.org/officeDocument/2006/relationships/hyperlink" Target="https://www.scoresandodds.com/nfl/teams/broncos" TargetMode="External"/><Relationship Id="rId1" Type="http://schemas.openxmlformats.org/officeDocument/2006/relationships/hyperlink" Target="https://www.scoresandodds.com/nfl/odds" TargetMode="External"/><Relationship Id="rId6" Type="http://schemas.openxmlformats.org/officeDocument/2006/relationships/hyperlink" Target="https://www.scoresandodds.com/nfl/picks" TargetMode="External"/><Relationship Id="rId11" Type="http://schemas.openxmlformats.org/officeDocument/2006/relationships/hyperlink" Target="https://www.scoresandodds.com/nfl/teams/raiders" TargetMode="External"/><Relationship Id="rId24" Type="http://schemas.openxmlformats.org/officeDocument/2006/relationships/hyperlink" Target="https://www.scoresandodds.com/nfl/teams/jaguars" TargetMode="External"/><Relationship Id="rId32" Type="http://schemas.openxmlformats.org/officeDocument/2006/relationships/hyperlink" Target="https://www.scoresandodds.com/nfl/teams/bears" TargetMode="External"/><Relationship Id="rId37" Type="http://schemas.openxmlformats.org/officeDocument/2006/relationships/hyperlink" Target="https://www.scoresandodds.com/nfl/teams/lions" TargetMode="External"/><Relationship Id="rId5" Type="http://schemas.openxmlformats.org/officeDocument/2006/relationships/hyperlink" Target="https://www.scoresandodds.com/nfl/parlays" TargetMode="External"/><Relationship Id="rId15" Type="http://schemas.openxmlformats.org/officeDocument/2006/relationships/hyperlink" Target="https://www.scoresandodds.com/nfl/teams/steelers" TargetMode="External"/><Relationship Id="rId23" Type="http://schemas.openxmlformats.org/officeDocument/2006/relationships/hyperlink" Target="https://www.scoresandodds.com/nfl/teams/texans" TargetMode="External"/><Relationship Id="rId28" Type="http://schemas.openxmlformats.org/officeDocument/2006/relationships/hyperlink" Target="https://www.scoresandodds.com/nfl/teams/seahawks" TargetMode="External"/><Relationship Id="rId36" Type="http://schemas.openxmlformats.org/officeDocument/2006/relationships/hyperlink" Target="https://www.scoresandodds.com/nfl/teams/giants" TargetMode="External"/><Relationship Id="rId10" Type="http://schemas.openxmlformats.org/officeDocument/2006/relationships/hyperlink" Target="https://www.scoresandodds.com/nfl/teams/buccaneers" TargetMode="External"/><Relationship Id="rId19" Type="http://schemas.openxmlformats.org/officeDocument/2006/relationships/hyperlink" Target="https://www.scoresandodds.com/nfl/teams/falcons" TargetMode="External"/><Relationship Id="rId31" Type="http://schemas.openxmlformats.org/officeDocument/2006/relationships/hyperlink" Target="https://www.scoresandodds.com/nfl/teams/cowboys" TargetMode="External"/><Relationship Id="rId4" Type="http://schemas.openxmlformats.org/officeDocument/2006/relationships/hyperlink" Target="https://www.scoresandodds.com/nfl/props" TargetMode="External"/><Relationship Id="rId9" Type="http://schemas.openxmlformats.org/officeDocument/2006/relationships/hyperlink" Target="https://www.scoresandodds.com/nfl/teams/jets" TargetMode="External"/><Relationship Id="rId14" Type="http://schemas.openxmlformats.org/officeDocument/2006/relationships/hyperlink" Target="https://www.scoresandodds.com/nfl/teams/eagles" TargetMode="External"/><Relationship Id="rId22" Type="http://schemas.openxmlformats.org/officeDocument/2006/relationships/hyperlink" Target="https://www.scoresandodds.com/nfl/teams/titans" TargetMode="External"/><Relationship Id="rId27" Type="http://schemas.openxmlformats.org/officeDocument/2006/relationships/hyperlink" Target="https://www.scoresandodds.com/nfl/teams/saints" TargetMode="External"/><Relationship Id="rId30" Type="http://schemas.openxmlformats.org/officeDocument/2006/relationships/hyperlink" Target="https://www.scoresandodds.com/nfl/teams/chargers" TargetMode="External"/><Relationship Id="rId35" Type="http://schemas.openxmlformats.org/officeDocument/2006/relationships/hyperlink" Target="https://www.scoresandodds.com/nfl/teams/chiefs" TargetMode="External"/><Relationship Id="rId8" Type="http://schemas.openxmlformats.org/officeDocument/2006/relationships/hyperlink" Target="https://www.scoresandodds.com/nfl/teams/bills" TargetMode="External"/><Relationship Id="rId3" Type="http://schemas.openxmlformats.org/officeDocument/2006/relationships/hyperlink" Target="https://www.scoresandodds.com/nfl/more-lines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resandodds.com/nfl/teams/eagles" TargetMode="External"/><Relationship Id="rId18" Type="http://schemas.openxmlformats.org/officeDocument/2006/relationships/hyperlink" Target="https://www.scoresandodds.com/nfl/teams/texans" TargetMode="External"/><Relationship Id="rId26" Type="http://schemas.openxmlformats.org/officeDocument/2006/relationships/hyperlink" Target="https://www.scoresandodds.com/nfl/teams/49ers" TargetMode="External"/><Relationship Id="rId39" Type="http://schemas.openxmlformats.org/officeDocument/2006/relationships/drawing" Target="../drawings/drawing4.xml"/><Relationship Id="rId21" Type="http://schemas.openxmlformats.org/officeDocument/2006/relationships/hyperlink" Target="https://www.scoresandodds.com/nfl/teams/chargers" TargetMode="External"/><Relationship Id="rId34" Type="http://schemas.openxmlformats.org/officeDocument/2006/relationships/hyperlink" Target="https://www.scoresandodds.com/nfl/teams/cowboys" TargetMode="External"/><Relationship Id="rId7" Type="http://schemas.openxmlformats.org/officeDocument/2006/relationships/hyperlink" Target="https://www.scoresandodds.com/nfl/teams/seahawks" TargetMode="External"/><Relationship Id="rId12" Type="http://schemas.openxmlformats.org/officeDocument/2006/relationships/hyperlink" Target="https://www.scoresandodds.com/nfl/teams/falcons" TargetMode="External"/><Relationship Id="rId17" Type="http://schemas.openxmlformats.org/officeDocument/2006/relationships/hyperlink" Target="https://www.scoresandodds.com/nfl/teams/titans" TargetMode="External"/><Relationship Id="rId25" Type="http://schemas.openxmlformats.org/officeDocument/2006/relationships/hyperlink" Target="https://www.scoresandodds.com/nfl/teams/jaguars" TargetMode="External"/><Relationship Id="rId33" Type="http://schemas.openxmlformats.org/officeDocument/2006/relationships/hyperlink" Target="https://www.scoresandodds.com/nfl/teams/packers" TargetMode="External"/><Relationship Id="rId38" Type="http://schemas.openxmlformats.org/officeDocument/2006/relationships/hyperlink" Target="https://www.scoresandodds.com/nfl/teams/broncos" TargetMode="External"/><Relationship Id="rId2" Type="http://schemas.openxmlformats.org/officeDocument/2006/relationships/hyperlink" Target="https://www.scoresandodds.com/nfl/consensus-picks" TargetMode="External"/><Relationship Id="rId16" Type="http://schemas.openxmlformats.org/officeDocument/2006/relationships/hyperlink" Target="https://www.scoresandodds.com/nfl/teams/bills" TargetMode="External"/><Relationship Id="rId20" Type="http://schemas.openxmlformats.org/officeDocument/2006/relationships/hyperlink" Target="https://www.scoresandodds.com/nfl/teams/patriots" TargetMode="External"/><Relationship Id="rId29" Type="http://schemas.openxmlformats.org/officeDocument/2006/relationships/hyperlink" Target="https://www.scoresandodds.com/nfl/teams/bears" TargetMode="External"/><Relationship Id="rId1" Type="http://schemas.openxmlformats.org/officeDocument/2006/relationships/hyperlink" Target="https://www.scoresandodds.com/nfl/odds" TargetMode="External"/><Relationship Id="rId6" Type="http://schemas.openxmlformats.org/officeDocument/2006/relationships/hyperlink" Target="https://www.scoresandodds.com/nfl/picks" TargetMode="External"/><Relationship Id="rId11" Type="http://schemas.openxmlformats.org/officeDocument/2006/relationships/hyperlink" Target="https://www.scoresandodds.com/nfl/teams/commanders" TargetMode="External"/><Relationship Id="rId24" Type="http://schemas.openxmlformats.org/officeDocument/2006/relationships/hyperlink" Target="https://www.scoresandodds.com/nfl/teams/lions" TargetMode="External"/><Relationship Id="rId32" Type="http://schemas.openxmlformats.org/officeDocument/2006/relationships/hyperlink" Target="https://www.scoresandodds.com/nfl/teams/chiefs" TargetMode="External"/><Relationship Id="rId37" Type="http://schemas.openxmlformats.org/officeDocument/2006/relationships/hyperlink" Target="https://www.scoresandodds.com/nfl/teams/bengals" TargetMode="External"/><Relationship Id="rId5" Type="http://schemas.openxmlformats.org/officeDocument/2006/relationships/hyperlink" Target="https://www.scoresandodds.com/nfl/parlays" TargetMode="External"/><Relationship Id="rId15" Type="http://schemas.openxmlformats.org/officeDocument/2006/relationships/hyperlink" Target="https://www.scoresandodds.com/nfl/teams/saints" TargetMode="External"/><Relationship Id="rId23" Type="http://schemas.openxmlformats.org/officeDocument/2006/relationships/hyperlink" Target="https://www.scoresandodds.com/nfl/teams/browns" TargetMode="External"/><Relationship Id="rId28" Type="http://schemas.openxmlformats.org/officeDocument/2006/relationships/hyperlink" Target="https://www.scoresandodds.com/nfl/teams/rams" TargetMode="External"/><Relationship Id="rId36" Type="http://schemas.openxmlformats.org/officeDocument/2006/relationships/hyperlink" Target="https://www.scoresandodds.com/nfl/teams/dolphins" TargetMode="External"/><Relationship Id="rId10" Type="http://schemas.openxmlformats.org/officeDocument/2006/relationships/hyperlink" Target="https://www.scoresandodds.com/nfl/teams/steelers" TargetMode="External"/><Relationship Id="rId19" Type="http://schemas.openxmlformats.org/officeDocument/2006/relationships/hyperlink" Target="https://www.scoresandodds.com/nfl/teams/panthers" TargetMode="External"/><Relationship Id="rId31" Type="http://schemas.openxmlformats.org/officeDocument/2006/relationships/hyperlink" Target="https://www.scoresandodds.com/nfl/teams/ravens" TargetMode="External"/><Relationship Id="rId4" Type="http://schemas.openxmlformats.org/officeDocument/2006/relationships/hyperlink" Target="https://www.scoresandodds.com/nfl/props" TargetMode="External"/><Relationship Id="rId9" Type="http://schemas.openxmlformats.org/officeDocument/2006/relationships/hyperlink" Target="https://www.scoresandodds.com/nfl/teams/vikings" TargetMode="External"/><Relationship Id="rId14" Type="http://schemas.openxmlformats.org/officeDocument/2006/relationships/hyperlink" Target="https://www.scoresandodds.com/nfl/teams/buccaneers" TargetMode="External"/><Relationship Id="rId22" Type="http://schemas.openxmlformats.org/officeDocument/2006/relationships/hyperlink" Target="https://www.scoresandodds.com/nfl/teams/giants" TargetMode="External"/><Relationship Id="rId27" Type="http://schemas.openxmlformats.org/officeDocument/2006/relationships/hyperlink" Target="https://www.scoresandodds.com/nfl/teams/colts" TargetMode="External"/><Relationship Id="rId30" Type="http://schemas.openxmlformats.org/officeDocument/2006/relationships/hyperlink" Target="https://www.scoresandodds.com/nfl/teams/raiders" TargetMode="External"/><Relationship Id="rId35" Type="http://schemas.openxmlformats.org/officeDocument/2006/relationships/hyperlink" Target="https://www.scoresandodds.com/nfl/teams/jets" TargetMode="External"/><Relationship Id="rId8" Type="http://schemas.openxmlformats.org/officeDocument/2006/relationships/hyperlink" Target="https://www.scoresandodds.com/nfl/teams/cardinals" TargetMode="External"/><Relationship Id="rId3" Type="http://schemas.openxmlformats.org/officeDocument/2006/relationships/hyperlink" Target="https://www.scoresandodds.com/nfl/more-lines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resandodds.com/nfl/teams/texans" TargetMode="External"/><Relationship Id="rId18" Type="http://schemas.openxmlformats.org/officeDocument/2006/relationships/hyperlink" Target="https://www.scoresandodds.com/nfl/teams/colts" TargetMode="External"/><Relationship Id="rId26" Type="http://schemas.openxmlformats.org/officeDocument/2006/relationships/hyperlink" Target="https://www.scoresandodds.com/nfl/teams/cardinals" TargetMode="External"/><Relationship Id="rId3" Type="http://schemas.openxmlformats.org/officeDocument/2006/relationships/hyperlink" Target="https://www.scoresandodds.com/nfl/more-lines" TargetMode="External"/><Relationship Id="rId21" Type="http://schemas.openxmlformats.org/officeDocument/2006/relationships/hyperlink" Target="https://www.scoresandodds.com/nfl/teams/dolphins" TargetMode="External"/><Relationship Id="rId34" Type="http://schemas.openxmlformats.org/officeDocument/2006/relationships/hyperlink" Target="https://www.scoresandodds.com/nfl/teams/jaguars" TargetMode="External"/><Relationship Id="rId7" Type="http://schemas.openxmlformats.org/officeDocument/2006/relationships/hyperlink" Target="https://www.scoresandodds.com/nfl/teams/49ers" TargetMode="External"/><Relationship Id="rId12" Type="http://schemas.openxmlformats.org/officeDocument/2006/relationships/hyperlink" Target="https://www.scoresandodds.com/nfl/teams/saints" TargetMode="External"/><Relationship Id="rId17" Type="http://schemas.openxmlformats.org/officeDocument/2006/relationships/hyperlink" Target="https://www.scoresandodds.com/nfl/teams/raiders" TargetMode="External"/><Relationship Id="rId25" Type="http://schemas.openxmlformats.org/officeDocument/2006/relationships/hyperlink" Target="https://www.scoresandodds.com/nfl/teams/titans" TargetMode="External"/><Relationship Id="rId33" Type="http://schemas.openxmlformats.org/officeDocument/2006/relationships/hyperlink" Target="https://www.scoresandodds.com/nfl/teams/chiefs" TargetMode="External"/><Relationship Id="rId2" Type="http://schemas.openxmlformats.org/officeDocument/2006/relationships/hyperlink" Target="https://www.scoresandodds.com/nfl/consensus-picks" TargetMode="External"/><Relationship Id="rId16" Type="http://schemas.openxmlformats.org/officeDocument/2006/relationships/hyperlink" Target="https://www.scoresandodds.com/nfl/teams/jets" TargetMode="External"/><Relationship Id="rId20" Type="http://schemas.openxmlformats.org/officeDocument/2006/relationships/hyperlink" Target="https://www.scoresandodds.com/nfl/teams/eagles" TargetMode="External"/><Relationship Id="rId29" Type="http://schemas.openxmlformats.org/officeDocument/2006/relationships/hyperlink" Target="https://www.scoresandodds.com/nfl/teams/commanders" TargetMode="External"/><Relationship Id="rId1" Type="http://schemas.openxmlformats.org/officeDocument/2006/relationships/hyperlink" Target="https://www.scoresandodds.com/nfl/odds" TargetMode="External"/><Relationship Id="rId6" Type="http://schemas.openxmlformats.org/officeDocument/2006/relationships/hyperlink" Target="https://www.scoresandodds.com/nfl/picks" TargetMode="External"/><Relationship Id="rId11" Type="http://schemas.openxmlformats.org/officeDocument/2006/relationships/hyperlink" Target="https://www.scoresandodds.com/nfl/teams/giants" TargetMode="External"/><Relationship Id="rId24" Type="http://schemas.openxmlformats.org/officeDocument/2006/relationships/hyperlink" Target="https://www.scoresandodds.com/nfl/teams/seahawks" TargetMode="External"/><Relationship Id="rId32" Type="http://schemas.openxmlformats.org/officeDocument/2006/relationships/hyperlink" Target="https://www.scoresandodds.com/nfl/teams/bills" TargetMode="External"/><Relationship Id="rId5" Type="http://schemas.openxmlformats.org/officeDocument/2006/relationships/hyperlink" Target="https://www.scoresandodds.com/nfl/parlays" TargetMode="External"/><Relationship Id="rId15" Type="http://schemas.openxmlformats.org/officeDocument/2006/relationships/hyperlink" Target="https://www.scoresandodds.com/nfl/teams/cowboys" TargetMode="External"/><Relationship Id="rId23" Type="http://schemas.openxmlformats.org/officeDocument/2006/relationships/hyperlink" Target="https://www.scoresandodds.com/nfl/teams/buccaneers" TargetMode="External"/><Relationship Id="rId28" Type="http://schemas.openxmlformats.org/officeDocument/2006/relationships/hyperlink" Target="https://www.scoresandodds.com/nfl/teams/bengals" TargetMode="External"/><Relationship Id="rId10" Type="http://schemas.openxmlformats.org/officeDocument/2006/relationships/hyperlink" Target="https://www.scoresandodds.com/nfl/teams/browns" TargetMode="External"/><Relationship Id="rId19" Type="http://schemas.openxmlformats.org/officeDocument/2006/relationships/hyperlink" Target="https://www.scoresandodds.com/nfl/teams/broncos" TargetMode="External"/><Relationship Id="rId31" Type="http://schemas.openxmlformats.org/officeDocument/2006/relationships/hyperlink" Target="https://www.scoresandodds.com/nfl/teams/patriots" TargetMode="External"/><Relationship Id="rId4" Type="http://schemas.openxmlformats.org/officeDocument/2006/relationships/hyperlink" Target="https://www.scoresandodds.com/nfl/props" TargetMode="External"/><Relationship Id="rId9" Type="http://schemas.openxmlformats.org/officeDocument/2006/relationships/hyperlink" Target="https://www.scoresandodds.com/nfl/teams/vikings" TargetMode="External"/><Relationship Id="rId14" Type="http://schemas.openxmlformats.org/officeDocument/2006/relationships/hyperlink" Target="https://www.scoresandodds.com/nfl/teams/ravens" TargetMode="External"/><Relationship Id="rId22" Type="http://schemas.openxmlformats.org/officeDocument/2006/relationships/hyperlink" Target="https://www.scoresandodds.com/nfl/teams/panthers" TargetMode="External"/><Relationship Id="rId27" Type="http://schemas.openxmlformats.org/officeDocument/2006/relationships/hyperlink" Target="https://www.scoresandodds.com/nfl/teams/lions" TargetMode="External"/><Relationship Id="rId30" Type="http://schemas.openxmlformats.org/officeDocument/2006/relationships/hyperlink" Target="https://www.scoresandodds.com/nfl/teams/chargers" TargetMode="External"/><Relationship Id="rId35" Type="http://schemas.openxmlformats.org/officeDocument/2006/relationships/drawing" Target="../drawings/drawing5.xml"/><Relationship Id="rId8" Type="http://schemas.openxmlformats.org/officeDocument/2006/relationships/hyperlink" Target="https://www.scoresandodds.com/nfl/teams/rams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resandodds.com/nfl/teams/cardinals" TargetMode="External"/><Relationship Id="rId18" Type="http://schemas.openxmlformats.org/officeDocument/2006/relationships/hyperlink" Target="https://www.scoresandodds.com/nfl/teams/ravens" TargetMode="External"/><Relationship Id="rId26" Type="http://schemas.openxmlformats.org/officeDocument/2006/relationships/hyperlink" Target="https://www.scoresandodds.com/nfl/teams/raiders" TargetMode="External"/><Relationship Id="rId21" Type="http://schemas.openxmlformats.org/officeDocument/2006/relationships/hyperlink" Target="https://www.scoresandodds.com/nfl/teams/patriots" TargetMode="External"/><Relationship Id="rId34" Type="http://schemas.openxmlformats.org/officeDocument/2006/relationships/hyperlink" Target="https://www.scoresandodds.com/nfl/teams/falcons" TargetMode="External"/><Relationship Id="rId7" Type="http://schemas.openxmlformats.org/officeDocument/2006/relationships/hyperlink" Target="https://www.scoresandodds.com/nfl/teams/eagles" TargetMode="External"/><Relationship Id="rId12" Type="http://schemas.openxmlformats.org/officeDocument/2006/relationships/hyperlink" Target="https://www.scoresandodds.com/nfl/teams/jaguars" TargetMode="External"/><Relationship Id="rId17" Type="http://schemas.openxmlformats.org/officeDocument/2006/relationships/hyperlink" Target="https://www.scoresandodds.com/nfl/teams/rams" TargetMode="External"/><Relationship Id="rId25" Type="http://schemas.openxmlformats.org/officeDocument/2006/relationships/hyperlink" Target="https://www.scoresandodds.com/nfl/teams/titans" TargetMode="External"/><Relationship Id="rId33" Type="http://schemas.openxmlformats.org/officeDocument/2006/relationships/hyperlink" Target="https://www.scoresandodds.com/nfl/teams/bills" TargetMode="External"/><Relationship Id="rId2" Type="http://schemas.openxmlformats.org/officeDocument/2006/relationships/hyperlink" Target="https://www.scoresandodds.com/nfl/consensus-picks" TargetMode="External"/><Relationship Id="rId16" Type="http://schemas.openxmlformats.org/officeDocument/2006/relationships/hyperlink" Target="https://www.scoresandodds.com/nfl/teams/steelers" TargetMode="External"/><Relationship Id="rId20" Type="http://schemas.openxmlformats.org/officeDocument/2006/relationships/hyperlink" Target="https://www.scoresandodds.com/nfl/teams/panthers" TargetMode="External"/><Relationship Id="rId29" Type="http://schemas.openxmlformats.org/officeDocument/2006/relationships/hyperlink" Target="https://www.scoresandodds.com/nfl/teams/bengals" TargetMode="External"/><Relationship Id="rId1" Type="http://schemas.openxmlformats.org/officeDocument/2006/relationships/hyperlink" Target="https://www.scoresandodds.com/nfl/odds" TargetMode="External"/><Relationship Id="rId6" Type="http://schemas.openxmlformats.org/officeDocument/2006/relationships/hyperlink" Target="https://www.scoresandodds.com/nfl/picks" TargetMode="External"/><Relationship Id="rId11" Type="http://schemas.openxmlformats.org/officeDocument/2006/relationships/hyperlink" Target="https://www.scoresandodds.com/nfl/teams/seahawks" TargetMode="External"/><Relationship Id="rId24" Type="http://schemas.openxmlformats.org/officeDocument/2006/relationships/hyperlink" Target="https://www.scoresandodds.com/nfl/teams/dolphins" TargetMode="External"/><Relationship Id="rId32" Type="http://schemas.openxmlformats.org/officeDocument/2006/relationships/hyperlink" Target="https://www.scoresandodds.com/nfl/teams/chiefs" TargetMode="External"/><Relationship Id="rId37" Type="http://schemas.openxmlformats.org/officeDocument/2006/relationships/drawing" Target="../drawings/drawing6.xml"/><Relationship Id="rId5" Type="http://schemas.openxmlformats.org/officeDocument/2006/relationships/hyperlink" Target="https://www.scoresandodds.com/nfl/parlays" TargetMode="External"/><Relationship Id="rId15" Type="http://schemas.openxmlformats.org/officeDocument/2006/relationships/hyperlink" Target="https://www.scoresandodds.com/nfl/teams/browns" TargetMode="External"/><Relationship Id="rId23" Type="http://schemas.openxmlformats.org/officeDocument/2006/relationships/hyperlink" Target="https://www.scoresandodds.com/nfl/teams/chargers" TargetMode="External"/><Relationship Id="rId28" Type="http://schemas.openxmlformats.org/officeDocument/2006/relationships/hyperlink" Target="https://www.scoresandodds.com/nfl/teams/buccaneers" TargetMode="External"/><Relationship Id="rId36" Type="http://schemas.openxmlformats.org/officeDocument/2006/relationships/hyperlink" Target="https://www.scoresandodds.com/nfl/teams/commanders" TargetMode="External"/><Relationship Id="rId10" Type="http://schemas.openxmlformats.org/officeDocument/2006/relationships/hyperlink" Target="https://www.scoresandodds.com/nfl/teams/jets" TargetMode="External"/><Relationship Id="rId19" Type="http://schemas.openxmlformats.org/officeDocument/2006/relationships/hyperlink" Target="https://www.scoresandodds.com/nfl/teams/cowboys" TargetMode="External"/><Relationship Id="rId31" Type="http://schemas.openxmlformats.org/officeDocument/2006/relationships/hyperlink" Target="https://www.scoresandodds.com/nfl/teams/lions" TargetMode="External"/><Relationship Id="rId4" Type="http://schemas.openxmlformats.org/officeDocument/2006/relationships/hyperlink" Target="https://www.scoresandodds.com/nfl/props" TargetMode="External"/><Relationship Id="rId9" Type="http://schemas.openxmlformats.org/officeDocument/2006/relationships/hyperlink" Target="https://www.scoresandodds.com/nfl/teams/broncos" TargetMode="External"/><Relationship Id="rId14" Type="http://schemas.openxmlformats.org/officeDocument/2006/relationships/hyperlink" Target="https://www.scoresandodds.com/nfl/teams/colts" TargetMode="External"/><Relationship Id="rId22" Type="http://schemas.openxmlformats.org/officeDocument/2006/relationships/hyperlink" Target="https://www.scoresandodds.com/nfl/teams/saints" TargetMode="External"/><Relationship Id="rId27" Type="http://schemas.openxmlformats.org/officeDocument/2006/relationships/hyperlink" Target="https://www.scoresandodds.com/nfl/teams/49ers" TargetMode="External"/><Relationship Id="rId30" Type="http://schemas.openxmlformats.org/officeDocument/2006/relationships/hyperlink" Target="https://www.scoresandodds.com/nfl/teams/packers" TargetMode="External"/><Relationship Id="rId35" Type="http://schemas.openxmlformats.org/officeDocument/2006/relationships/hyperlink" Target="https://www.scoresandodds.com/nfl/teams/bears" TargetMode="External"/><Relationship Id="rId8" Type="http://schemas.openxmlformats.org/officeDocument/2006/relationships/hyperlink" Target="https://www.scoresandodds.com/nfl/teams/giants" TargetMode="External"/><Relationship Id="rId3" Type="http://schemas.openxmlformats.org/officeDocument/2006/relationships/hyperlink" Target="https://www.scoresandodds.com/nfl/more-lines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resandodds.com/nfl/teams/panthers" TargetMode="External"/><Relationship Id="rId18" Type="http://schemas.openxmlformats.org/officeDocument/2006/relationships/hyperlink" Target="https://www.scoresandodds.com/nfl/teams/browns" TargetMode="External"/><Relationship Id="rId26" Type="http://schemas.openxmlformats.org/officeDocument/2006/relationships/hyperlink" Target="https://www.scoresandodds.com/nfl/teams/chargers" TargetMode="External"/><Relationship Id="rId21" Type="http://schemas.openxmlformats.org/officeDocument/2006/relationships/hyperlink" Target="https://www.scoresandodds.com/nfl/teams/raiders" TargetMode="External"/><Relationship Id="rId34" Type="http://schemas.openxmlformats.org/officeDocument/2006/relationships/hyperlink" Target="https://www.scoresandodds.com/nfl/teams/lions" TargetMode="External"/><Relationship Id="rId7" Type="http://schemas.openxmlformats.org/officeDocument/2006/relationships/hyperlink" Target="https://www.scoresandodds.com/nfl/teams/steelers" TargetMode="External"/><Relationship Id="rId12" Type="http://schemas.openxmlformats.org/officeDocument/2006/relationships/hyperlink" Target="https://www.scoresandodds.com/nfl/teams/bears" TargetMode="External"/><Relationship Id="rId17" Type="http://schemas.openxmlformats.org/officeDocument/2006/relationships/hyperlink" Target="https://www.scoresandodds.com/nfl/teams/dolphins" TargetMode="External"/><Relationship Id="rId25" Type="http://schemas.openxmlformats.org/officeDocument/2006/relationships/hyperlink" Target="https://www.scoresandodds.com/nfl/teams/colts" TargetMode="External"/><Relationship Id="rId33" Type="http://schemas.openxmlformats.org/officeDocument/2006/relationships/hyperlink" Target="https://www.scoresandodds.com/nfl/teams/buccaneers" TargetMode="External"/><Relationship Id="rId2" Type="http://schemas.openxmlformats.org/officeDocument/2006/relationships/hyperlink" Target="https://www.scoresandodds.com/nfl/consensus-picks" TargetMode="External"/><Relationship Id="rId16" Type="http://schemas.openxmlformats.org/officeDocument/2006/relationships/hyperlink" Target="https://www.scoresandodds.com/nfl/teams/vikings" TargetMode="External"/><Relationship Id="rId20" Type="http://schemas.openxmlformats.org/officeDocument/2006/relationships/hyperlink" Target="https://www.scoresandodds.com/nfl/teams/titans" TargetMode="External"/><Relationship Id="rId29" Type="http://schemas.openxmlformats.org/officeDocument/2006/relationships/hyperlink" Target="https://www.scoresandodds.com/nfl/teams/packers" TargetMode="External"/><Relationship Id="rId1" Type="http://schemas.openxmlformats.org/officeDocument/2006/relationships/hyperlink" Target="https://www.scoresandodds.com/nfl/odds" TargetMode="External"/><Relationship Id="rId6" Type="http://schemas.openxmlformats.org/officeDocument/2006/relationships/hyperlink" Target="https://www.scoresandodds.com/nfl/picks" TargetMode="External"/><Relationship Id="rId11" Type="http://schemas.openxmlformats.org/officeDocument/2006/relationships/hyperlink" Target="https://www.scoresandodds.com/nfl/teams/saints" TargetMode="External"/><Relationship Id="rId24" Type="http://schemas.openxmlformats.org/officeDocument/2006/relationships/hyperlink" Target="https://www.scoresandodds.com/nfl/teams/broncos" TargetMode="External"/><Relationship Id="rId32" Type="http://schemas.openxmlformats.org/officeDocument/2006/relationships/hyperlink" Target="https://www.scoresandodds.com/nfl/teams/49ers" TargetMode="External"/><Relationship Id="rId37" Type="http://schemas.openxmlformats.org/officeDocument/2006/relationships/drawing" Target="../drawings/drawing7.xml"/><Relationship Id="rId5" Type="http://schemas.openxmlformats.org/officeDocument/2006/relationships/hyperlink" Target="https://www.scoresandodds.com/nfl/parlays" TargetMode="External"/><Relationship Id="rId15" Type="http://schemas.openxmlformats.org/officeDocument/2006/relationships/hyperlink" Target="https://www.scoresandodds.com/nfl/teams/eagles" TargetMode="External"/><Relationship Id="rId23" Type="http://schemas.openxmlformats.org/officeDocument/2006/relationships/hyperlink" Target="https://www.scoresandodds.com/nfl/teams/giants" TargetMode="External"/><Relationship Id="rId28" Type="http://schemas.openxmlformats.org/officeDocument/2006/relationships/hyperlink" Target="https://www.scoresandodds.com/nfl/teams/cowboys" TargetMode="External"/><Relationship Id="rId36" Type="http://schemas.openxmlformats.org/officeDocument/2006/relationships/hyperlink" Target="https://www.scoresandodds.com/nfl/teams/seahawks" TargetMode="External"/><Relationship Id="rId10" Type="http://schemas.openxmlformats.org/officeDocument/2006/relationships/hyperlink" Target="https://www.scoresandodds.com/nfl/teams/jaguars" TargetMode="External"/><Relationship Id="rId19" Type="http://schemas.openxmlformats.org/officeDocument/2006/relationships/hyperlink" Target="https://www.scoresandodds.com/nfl/teams/patriots" TargetMode="External"/><Relationship Id="rId31" Type="http://schemas.openxmlformats.org/officeDocument/2006/relationships/hyperlink" Target="https://www.scoresandodds.com/nfl/teams/falcons" TargetMode="External"/><Relationship Id="rId4" Type="http://schemas.openxmlformats.org/officeDocument/2006/relationships/hyperlink" Target="https://www.scoresandodds.com/nfl/props" TargetMode="External"/><Relationship Id="rId9" Type="http://schemas.openxmlformats.org/officeDocument/2006/relationships/hyperlink" Target="https://www.scoresandodds.com/nfl/teams/rams" TargetMode="External"/><Relationship Id="rId14" Type="http://schemas.openxmlformats.org/officeDocument/2006/relationships/hyperlink" Target="https://www.scoresandodds.com/nfl/teams/jets" TargetMode="External"/><Relationship Id="rId22" Type="http://schemas.openxmlformats.org/officeDocument/2006/relationships/hyperlink" Target="https://www.scoresandodds.com/nfl/teams/chiefs" TargetMode="External"/><Relationship Id="rId27" Type="http://schemas.openxmlformats.org/officeDocument/2006/relationships/hyperlink" Target="https://www.scoresandodds.com/nfl/teams/commanders" TargetMode="External"/><Relationship Id="rId30" Type="http://schemas.openxmlformats.org/officeDocument/2006/relationships/hyperlink" Target="https://www.scoresandodds.com/nfl/teams/cardinals" TargetMode="External"/><Relationship Id="rId35" Type="http://schemas.openxmlformats.org/officeDocument/2006/relationships/hyperlink" Target="https://www.scoresandodds.com/nfl/teams/texans" TargetMode="External"/><Relationship Id="rId8" Type="http://schemas.openxmlformats.org/officeDocument/2006/relationships/hyperlink" Target="https://www.scoresandodds.com/nfl/teams/bengals" TargetMode="External"/><Relationship Id="rId3" Type="http://schemas.openxmlformats.org/officeDocument/2006/relationships/hyperlink" Target="https://www.scoresandodds.com/nfl/more-lines" TargetMode="External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resandodds.com/nfl/teams/dolphins" TargetMode="External"/><Relationship Id="rId18" Type="http://schemas.openxmlformats.org/officeDocument/2006/relationships/hyperlink" Target="https://www.scoresandodds.com/nfl/teams/eagles" TargetMode="External"/><Relationship Id="rId26" Type="http://schemas.openxmlformats.org/officeDocument/2006/relationships/hyperlink" Target="https://www.scoresandodds.com/nfl/teams/broncos" TargetMode="External"/><Relationship Id="rId3" Type="http://schemas.openxmlformats.org/officeDocument/2006/relationships/hyperlink" Target="https://www.scoresandodds.com/nfl/more-lines" TargetMode="External"/><Relationship Id="rId21" Type="http://schemas.openxmlformats.org/officeDocument/2006/relationships/hyperlink" Target="https://www.scoresandodds.com/nfl/teams/bills" TargetMode="External"/><Relationship Id="rId7" Type="http://schemas.openxmlformats.org/officeDocument/2006/relationships/hyperlink" Target="https://www.scoresandodds.com/nfl/teams/vikings" TargetMode="External"/><Relationship Id="rId12" Type="http://schemas.openxmlformats.org/officeDocument/2006/relationships/hyperlink" Target="https://www.scoresandodds.com/nfl/teams/bengals" TargetMode="External"/><Relationship Id="rId17" Type="http://schemas.openxmlformats.org/officeDocument/2006/relationships/hyperlink" Target="https://www.scoresandodds.com/nfl/teams/giants" TargetMode="External"/><Relationship Id="rId25" Type="http://schemas.openxmlformats.org/officeDocument/2006/relationships/hyperlink" Target="https://www.scoresandodds.com/nfl/teams/cowboys" TargetMode="External"/><Relationship Id="rId33" Type="http://schemas.openxmlformats.org/officeDocument/2006/relationships/drawing" Target="../drawings/drawing8.xml"/><Relationship Id="rId2" Type="http://schemas.openxmlformats.org/officeDocument/2006/relationships/hyperlink" Target="https://www.scoresandodds.com/nfl/consensus-picks" TargetMode="External"/><Relationship Id="rId16" Type="http://schemas.openxmlformats.org/officeDocument/2006/relationships/hyperlink" Target="https://www.scoresandodds.com/nfl/teams/texans" TargetMode="External"/><Relationship Id="rId20" Type="http://schemas.openxmlformats.org/officeDocument/2006/relationships/hyperlink" Target="https://www.scoresandodds.com/nfl/teams/ravens" TargetMode="External"/><Relationship Id="rId29" Type="http://schemas.openxmlformats.org/officeDocument/2006/relationships/hyperlink" Target="https://www.scoresandodds.com/nfl/teams/packers" TargetMode="External"/><Relationship Id="rId1" Type="http://schemas.openxmlformats.org/officeDocument/2006/relationships/hyperlink" Target="https://www.scoresandodds.com/nfl/odds" TargetMode="External"/><Relationship Id="rId6" Type="http://schemas.openxmlformats.org/officeDocument/2006/relationships/hyperlink" Target="https://www.scoresandodds.com/nfl/picks" TargetMode="External"/><Relationship Id="rId11" Type="http://schemas.openxmlformats.org/officeDocument/2006/relationships/hyperlink" Target="https://www.scoresandodds.com/nfl/teams/jets" TargetMode="External"/><Relationship Id="rId24" Type="http://schemas.openxmlformats.org/officeDocument/2006/relationships/hyperlink" Target="https://www.scoresandodds.com/nfl/teams/saints" TargetMode="External"/><Relationship Id="rId32" Type="http://schemas.openxmlformats.org/officeDocument/2006/relationships/hyperlink" Target="https://www.scoresandodds.com/nfl/teams/chiefs" TargetMode="External"/><Relationship Id="rId5" Type="http://schemas.openxmlformats.org/officeDocument/2006/relationships/hyperlink" Target="https://www.scoresandodds.com/nfl/parlays" TargetMode="External"/><Relationship Id="rId15" Type="http://schemas.openxmlformats.org/officeDocument/2006/relationships/hyperlink" Target="https://www.scoresandodds.com/nfl/teams/49ers" TargetMode="External"/><Relationship Id="rId23" Type="http://schemas.openxmlformats.org/officeDocument/2006/relationships/hyperlink" Target="https://www.scoresandodds.com/nfl/teams/buccaneers" TargetMode="External"/><Relationship Id="rId28" Type="http://schemas.openxmlformats.org/officeDocument/2006/relationships/hyperlink" Target="https://www.scoresandodds.com/nfl/teams/colts" TargetMode="External"/><Relationship Id="rId10" Type="http://schemas.openxmlformats.org/officeDocument/2006/relationships/hyperlink" Target="https://www.scoresandodds.com/nfl/teams/patriots" TargetMode="External"/><Relationship Id="rId19" Type="http://schemas.openxmlformats.org/officeDocument/2006/relationships/hyperlink" Target="https://www.scoresandodds.com/nfl/teams/bears" TargetMode="External"/><Relationship Id="rId31" Type="http://schemas.openxmlformats.org/officeDocument/2006/relationships/hyperlink" Target="https://www.scoresandodds.com/nfl/teams/commanders" TargetMode="External"/><Relationship Id="rId4" Type="http://schemas.openxmlformats.org/officeDocument/2006/relationships/hyperlink" Target="https://www.scoresandodds.com/nfl/props" TargetMode="External"/><Relationship Id="rId9" Type="http://schemas.openxmlformats.org/officeDocument/2006/relationships/hyperlink" Target="https://www.scoresandodds.com/nfl/teams/browns" TargetMode="External"/><Relationship Id="rId14" Type="http://schemas.openxmlformats.org/officeDocument/2006/relationships/hyperlink" Target="https://www.scoresandodds.com/nfl/teams/falcons" TargetMode="External"/><Relationship Id="rId22" Type="http://schemas.openxmlformats.org/officeDocument/2006/relationships/hyperlink" Target="https://www.scoresandodds.com/nfl/teams/panthers" TargetMode="External"/><Relationship Id="rId27" Type="http://schemas.openxmlformats.org/officeDocument/2006/relationships/hyperlink" Target="https://www.scoresandodds.com/nfl/teams/titans" TargetMode="External"/><Relationship Id="rId30" Type="http://schemas.openxmlformats.org/officeDocument/2006/relationships/hyperlink" Target="https://www.scoresandodds.com/nfl/teams/steelers" TargetMode="External"/><Relationship Id="rId8" Type="http://schemas.openxmlformats.org/officeDocument/2006/relationships/hyperlink" Target="https://www.scoresandodds.com/nfl/teams/chargers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resandodds.com/nfl/teams/chargers" TargetMode="External"/><Relationship Id="rId18" Type="http://schemas.openxmlformats.org/officeDocument/2006/relationships/hyperlink" Target="https://www.scoresandodds.com/nfl/teams/patriots" TargetMode="External"/><Relationship Id="rId26" Type="http://schemas.openxmlformats.org/officeDocument/2006/relationships/hyperlink" Target="https://www.scoresandodds.com/nfl/teams/raiders" TargetMode="External"/><Relationship Id="rId3" Type="http://schemas.openxmlformats.org/officeDocument/2006/relationships/hyperlink" Target="https://www.scoresandodds.com/nfl/more-lines" TargetMode="External"/><Relationship Id="rId21" Type="http://schemas.openxmlformats.org/officeDocument/2006/relationships/hyperlink" Target="https://www.scoresandodds.com/nfl/teams/49ers" TargetMode="External"/><Relationship Id="rId34" Type="http://schemas.openxmlformats.org/officeDocument/2006/relationships/hyperlink" Target="https://www.scoresandodds.com/nfl/teams/cowboys" TargetMode="External"/><Relationship Id="rId7" Type="http://schemas.openxmlformats.org/officeDocument/2006/relationships/hyperlink" Target="https://www.scoresandodds.com/nfl/teams/ravens" TargetMode="External"/><Relationship Id="rId12" Type="http://schemas.openxmlformats.org/officeDocument/2006/relationships/hyperlink" Target="https://www.scoresandodds.com/nfl/teams/bengals" TargetMode="External"/><Relationship Id="rId17" Type="http://schemas.openxmlformats.org/officeDocument/2006/relationships/hyperlink" Target="https://www.scoresandodds.com/nfl/teams/falcons" TargetMode="External"/><Relationship Id="rId25" Type="http://schemas.openxmlformats.org/officeDocument/2006/relationships/hyperlink" Target="https://www.scoresandodds.com/nfl/teams/jaguars" TargetMode="External"/><Relationship Id="rId33" Type="http://schemas.openxmlformats.org/officeDocument/2006/relationships/hyperlink" Target="https://www.scoresandodds.com/nfl/teams/cardinals" TargetMode="External"/><Relationship Id="rId2" Type="http://schemas.openxmlformats.org/officeDocument/2006/relationships/hyperlink" Target="https://www.scoresandodds.com/nfl/consensus-picks" TargetMode="External"/><Relationship Id="rId16" Type="http://schemas.openxmlformats.org/officeDocument/2006/relationships/hyperlink" Target="https://www.scoresandodds.com/nfl/teams/texans" TargetMode="External"/><Relationship Id="rId20" Type="http://schemas.openxmlformats.org/officeDocument/2006/relationships/hyperlink" Target="https://www.scoresandodds.com/nfl/teams/lions" TargetMode="External"/><Relationship Id="rId29" Type="http://schemas.openxmlformats.org/officeDocument/2006/relationships/hyperlink" Target="https://www.scoresandodds.com/nfl/teams/chiefs" TargetMode="External"/><Relationship Id="rId1" Type="http://schemas.openxmlformats.org/officeDocument/2006/relationships/hyperlink" Target="https://www.scoresandodds.com/nfl/odds" TargetMode="External"/><Relationship Id="rId6" Type="http://schemas.openxmlformats.org/officeDocument/2006/relationships/hyperlink" Target="https://www.scoresandodds.com/nfl/picks" TargetMode="External"/><Relationship Id="rId11" Type="http://schemas.openxmlformats.org/officeDocument/2006/relationships/hyperlink" Target="https://www.scoresandodds.com/nfl/teams/bears" TargetMode="External"/><Relationship Id="rId24" Type="http://schemas.openxmlformats.org/officeDocument/2006/relationships/hyperlink" Target="https://www.scoresandodds.com/nfl/teams/packers" TargetMode="External"/><Relationship Id="rId32" Type="http://schemas.openxmlformats.org/officeDocument/2006/relationships/hyperlink" Target="https://www.scoresandodds.com/nfl/teams/commanders" TargetMode="External"/><Relationship Id="rId5" Type="http://schemas.openxmlformats.org/officeDocument/2006/relationships/hyperlink" Target="https://www.scoresandodds.com/nfl/parlays" TargetMode="External"/><Relationship Id="rId15" Type="http://schemas.openxmlformats.org/officeDocument/2006/relationships/hyperlink" Target="https://www.scoresandodds.com/nfl/teams/broncos" TargetMode="External"/><Relationship Id="rId23" Type="http://schemas.openxmlformats.org/officeDocument/2006/relationships/hyperlink" Target="https://www.scoresandodds.com/nfl/teams/panthers" TargetMode="External"/><Relationship Id="rId28" Type="http://schemas.openxmlformats.org/officeDocument/2006/relationships/hyperlink" Target="https://www.scoresandodds.com/nfl/teams/rams" TargetMode="External"/><Relationship Id="rId10" Type="http://schemas.openxmlformats.org/officeDocument/2006/relationships/hyperlink" Target="https://www.scoresandodds.com/nfl/teams/steelers" TargetMode="External"/><Relationship Id="rId19" Type="http://schemas.openxmlformats.org/officeDocument/2006/relationships/hyperlink" Target="https://www.scoresandodds.com/nfl/teams/vikings" TargetMode="External"/><Relationship Id="rId31" Type="http://schemas.openxmlformats.org/officeDocument/2006/relationships/hyperlink" Target="https://www.scoresandodds.com/nfl/teams/seahawks" TargetMode="External"/><Relationship Id="rId4" Type="http://schemas.openxmlformats.org/officeDocument/2006/relationships/hyperlink" Target="https://www.scoresandodds.com/nfl/props" TargetMode="External"/><Relationship Id="rId9" Type="http://schemas.openxmlformats.org/officeDocument/2006/relationships/hyperlink" Target="https://www.scoresandodds.com/nfl/teams/colts" TargetMode="External"/><Relationship Id="rId14" Type="http://schemas.openxmlformats.org/officeDocument/2006/relationships/hyperlink" Target="https://www.scoresandodds.com/nfl/teams/titans" TargetMode="External"/><Relationship Id="rId22" Type="http://schemas.openxmlformats.org/officeDocument/2006/relationships/hyperlink" Target="https://www.scoresandodds.com/nfl/teams/giants" TargetMode="External"/><Relationship Id="rId27" Type="http://schemas.openxmlformats.org/officeDocument/2006/relationships/hyperlink" Target="https://www.scoresandodds.com/nfl/teams/saints" TargetMode="External"/><Relationship Id="rId30" Type="http://schemas.openxmlformats.org/officeDocument/2006/relationships/hyperlink" Target="https://www.scoresandodds.com/nfl/teams/bills" TargetMode="External"/><Relationship Id="rId35" Type="http://schemas.openxmlformats.org/officeDocument/2006/relationships/drawing" Target="../drawings/drawing9.xml"/><Relationship Id="rId8" Type="http://schemas.openxmlformats.org/officeDocument/2006/relationships/hyperlink" Target="https://www.scoresandodds.com/nfl/teams/dolphins" TargetMode="External"/></Relationships>
</file>

<file path=xl/worksheets/_rels/sheet10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resandodds.com/nfl/teams/saints" TargetMode="External"/><Relationship Id="rId18" Type="http://schemas.openxmlformats.org/officeDocument/2006/relationships/hyperlink" Target="https://www.scoresandodds.com/nfl/teams/buccaneers" TargetMode="External"/><Relationship Id="rId26" Type="http://schemas.openxmlformats.org/officeDocument/2006/relationships/hyperlink" Target="https://www.scoresandodds.com/nfl/teams/seahawks" TargetMode="External"/><Relationship Id="rId3" Type="http://schemas.openxmlformats.org/officeDocument/2006/relationships/hyperlink" Target="https://www.scoresandodds.com/nfl/more-lines" TargetMode="External"/><Relationship Id="rId21" Type="http://schemas.openxmlformats.org/officeDocument/2006/relationships/hyperlink" Target="https://www.scoresandodds.com/nfl/teams/browns" TargetMode="External"/><Relationship Id="rId34" Type="http://schemas.openxmlformats.org/officeDocument/2006/relationships/hyperlink" Target="https://www.scoresandodds.com/nfl/teams/packers" TargetMode="External"/><Relationship Id="rId7" Type="http://schemas.openxmlformats.org/officeDocument/2006/relationships/hyperlink" Target="https://www.scoresandodds.com/nfl/teams/raiders" TargetMode="External"/><Relationship Id="rId12" Type="http://schemas.openxmlformats.org/officeDocument/2006/relationships/hyperlink" Target="https://www.scoresandodds.com/nfl/teams/dolphins" TargetMode="External"/><Relationship Id="rId17" Type="http://schemas.openxmlformats.org/officeDocument/2006/relationships/hyperlink" Target="https://www.scoresandodds.com/nfl/teams/patriots" TargetMode="External"/><Relationship Id="rId25" Type="http://schemas.openxmlformats.org/officeDocument/2006/relationships/hyperlink" Target="https://www.scoresandodds.com/nfl/teams/cardinals" TargetMode="External"/><Relationship Id="rId33" Type="http://schemas.openxmlformats.org/officeDocument/2006/relationships/hyperlink" Target="https://www.scoresandodds.com/nfl/teams/eagles" TargetMode="External"/><Relationship Id="rId2" Type="http://schemas.openxmlformats.org/officeDocument/2006/relationships/hyperlink" Target="https://www.scoresandodds.com/nfl/consensus-picks" TargetMode="External"/><Relationship Id="rId16" Type="http://schemas.openxmlformats.org/officeDocument/2006/relationships/hyperlink" Target="https://www.scoresandodds.com/nfl/teams/vikings" TargetMode="External"/><Relationship Id="rId20" Type="http://schemas.openxmlformats.org/officeDocument/2006/relationships/hyperlink" Target="https://www.scoresandodds.com/nfl/teams/texans" TargetMode="External"/><Relationship Id="rId29" Type="http://schemas.openxmlformats.org/officeDocument/2006/relationships/hyperlink" Target="https://www.scoresandodds.com/nfl/teams/rams" TargetMode="External"/><Relationship Id="rId1" Type="http://schemas.openxmlformats.org/officeDocument/2006/relationships/hyperlink" Target="https://www.scoresandodds.com/nfl/odds" TargetMode="External"/><Relationship Id="rId6" Type="http://schemas.openxmlformats.org/officeDocument/2006/relationships/hyperlink" Target="https://www.scoresandodds.com/nfl/picks" TargetMode="External"/><Relationship Id="rId11" Type="http://schemas.openxmlformats.org/officeDocument/2006/relationships/hyperlink" Target="https://www.scoresandodds.com/nfl/teams/bills" TargetMode="External"/><Relationship Id="rId24" Type="http://schemas.openxmlformats.org/officeDocument/2006/relationships/hyperlink" Target="https://www.scoresandodds.com/nfl/teams/bears" TargetMode="External"/><Relationship Id="rId32" Type="http://schemas.openxmlformats.org/officeDocument/2006/relationships/hyperlink" Target="https://www.scoresandodds.com/nfl/teams/chargers" TargetMode="External"/><Relationship Id="rId5" Type="http://schemas.openxmlformats.org/officeDocument/2006/relationships/hyperlink" Target="https://www.scoresandodds.com/nfl/parlays" TargetMode="External"/><Relationship Id="rId15" Type="http://schemas.openxmlformats.org/officeDocument/2006/relationships/hyperlink" Target="https://www.scoresandodds.com/nfl/teams/ravens" TargetMode="External"/><Relationship Id="rId23" Type="http://schemas.openxmlformats.org/officeDocument/2006/relationships/hyperlink" Target="https://www.scoresandodds.com/nfl/teams/giants" TargetMode="External"/><Relationship Id="rId28" Type="http://schemas.openxmlformats.org/officeDocument/2006/relationships/hyperlink" Target="https://www.scoresandodds.com/nfl/teams/commanders" TargetMode="External"/><Relationship Id="rId10" Type="http://schemas.openxmlformats.org/officeDocument/2006/relationships/hyperlink" Target="https://www.scoresandodds.com/nfl/teams/colts" TargetMode="External"/><Relationship Id="rId19" Type="http://schemas.openxmlformats.org/officeDocument/2006/relationships/hyperlink" Target="https://www.scoresandodds.com/nfl/teams/jaguars" TargetMode="External"/><Relationship Id="rId31" Type="http://schemas.openxmlformats.org/officeDocument/2006/relationships/hyperlink" Target="https://www.scoresandodds.com/nfl/teams/steelers" TargetMode="External"/><Relationship Id="rId4" Type="http://schemas.openxmlformats.org/officeDocument/2006/relationships/hyperlink" Target="https://www.scoresandodds.com/nfl/props" TargetMode="External"/><Relationship Id="rId9" Type="http://schemas.openxmlformats.org/officeDocument/2006/relationships/hyperlink" Target="https://www.scoresandodds.com/nfl/teams/falcons" TargetMode="External"/><Relationship Id="rId14" Type="http://schemas.openxmlformats.org/officeDocument/2006/relationships/hyperlink" Target="https://www.scoresandodds.com/nfl/teams/panthers" TargetMode="External"/><Relationship Id="rId22" Type="http://schemas.openxmlformats.org/officeDocument/2006/relationships/hyperlink" Target="https://www.scoresandodds.com/nfl/teams/jets" TargetMode="External"/><Relationship Id="rId27" Type="http://schemas.openxmlformats.org/officeDocument/2006/relationships/hyperlink" Target="https://www.scoresandodds.com/nfl/teams/lions" TargetMode="External"/><Relationship Id="rId30" Type="http://schemas.openxmlformats.org/officeDocument/2006/relationships/hyperlink" Target="https://www.scoresandodds.com/nfl/teams/49ers" TargetMode="External"/><Relationship Id="rId35" Type="http://schemas.openxmlformats.org/officeDocument/2006/relationships/drawing" Target="../drawings/drawing10.xml"/><Relationship Id="rId8" Type="http://schemas.openxmlformats.org/officeDocument/2006/relationships/hyperlink" Target="https://www.scoresandodds.com/nfl/teams/broncos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resandodds.com/nfl/teams/panthers" TargetMode="External"/><Relationship Id="rId18" Type="http://schemas.openxmlformats.org/officeDocument/2006/relationships/hyperlink" Target="https://www.scoresandodds.com/nfl/teams/jaguars" TargetMode="External"/><Relationship Id="rId26" Type="http://schemas.openxmlformats.org/officeDocument/2006/relationships/hyperlink" Target="https://www.scoresandodds.com/nfl/teams/cardinals" TargetMode="External"/><Relationship Id="rId21" Type="http://schemas.openxmlformats.org/officeDocument/2006/relationships/hyperlink" Target="https://www.scoresandodds.com/nfl/teams/buccaneers" TargetMode="External"/><Relationship Id="rId34" Type="http://schemas.openxmlformats.org/officeDocument/2006/relationships/hyperlink" Target="https://www.scoresandodds.com/nfl/teams/eagles" TargetMode="External"/><Relationship Id="rId7" Type="http://schemas.openxmlformats.org/officeDocument/2006/relationships/hyperlink" Target="https://www.scoresandodds.com/nfl/teams/jets" TargetMode="External"/><Relationship Id="rId12" Type="http://schemas.openxmlformats.org/officeDocument/2006/relationships/hyperlink" Target="https://www.scoresandodds.com/nfl/teams/titans" TargetMode="External"/><Relationship Id="rId17" Type="http://schemas.openxmlformats.org/officeDocument/2006/relationships/hyperlink" Target="https://www.scoresandodds.com/nfl/teams/chargers" TargetMode="External"/><Relationship Id="rId25" Type="http://schemas.openxmlformats.org/officeDocument/2006/relationships/hyperlink" Target="https://www.scoresandodds.com/nfl/teams/49ers" TargetMode="External"/><Relationship Id="rId33" Type="http://schemas.openxmlformats.org/officeDocument/2006/relationships/hyperlink" Target="https://www.scoresandodds.com/nfl/teams/lions" TargetMode="External"/><Relationship Id="rId2" Type="http://schemas.openxmlformats.org/officeDocument/2006/relationships/hyperlink" Target="https://www.scoresandodds.com/nfl/consensus-picks" TargetMode="External"/><Relationship Id="rId16" Type="http://schemas.openxmlformats.org/officeDocument/2006/relationships/hyperlink" Target="https://www.scoresandodds.com/nfl/teams/steelers" TargetMode="External"/><Relationship Id="rId20" Type="http://schemas.openxmlformats.org/officeDocument/2006/relationships/hyperlink" Target="https://www.scoresandodds.com/nfl/teams/giants" TargetMode="External"/><Relationship Id="rId29" Type="http://schemas.openxmlformats.org/officeDocument/2006/relationships/hyperlink" Target="https://www.scoresandodds.com/nfl/teams/ravens" TargetMode="External"/><Relationship Id="rId1" Type="http://schemas.openxmlformats.org/officeDocument/2006/relationships/hyperlink" Target="https://www.scoresandodds.com/nfl/odds" TargetMode="External"/><Relationship Id="rId6" Type="http://schemas.openxmlformats.org/officeDocument/2006/relationships/hyperlink" Target="https://www.scoresandodds.com/nfl/picks" TargetMode="External"/><Relationship Id="rId11" Type="http://schemas.openxmlformats.org/officeDocument/2006/relationships/hyperlink" Target="https://www.scoresandodds.com/nfl/teams/texans" TargetMode="External"/><Relationship Id="rId24" Type="http://schemas.openxmlformats.org/officeDocument/2006/relationships/hyperlink" Target="https://www.scoresandodds.com/nfl/teams/vikings" TargetMode="External"/><Relationship Id="rId32" Type="http://schemas.openxmlformats.org/officeDocument/2006/relationships/hyperlink" Target="https://www.scoresandodds.com/nfl/teams/broncos" TargetMode="External"/><Relationship Id="rId37" Type="http://schemas.openxmlformats.org/officeDocument/2006/relationships/drawing" Target="../drawings/drawing11.xml"/><Relationship Id="rId5" Type="http://schemas.openxmlformats.org/officeDocument/2006/relationships/hyperlink" Target="https://www.scoresandodds.com/nfl/parlays" TargetMode="External"/><Relationship Id="rId15" Type="http://schemas.openxmlformats.org/officeDocument/2006/relationships/hyperlink" Target="https://www.scoresandodds.com/nfl/teams/bengals" TargetMode="External"/><Relationship Id="rId23" Type="http://schemas.openxmlformats.org/officeDocument/2006/relationships/hyperlink" Target="https://www.scoresandodds.com/nfl/teams/bears" TargetMode="External"/><Relationship Id="rId28" Type="http://schemas.openxmlformats.org/officeDocument/2006/relationships/hyperlink" Target="https://www.scoresandodds.com/nfl/teams/rams" TargetMode="External"/><Relationship Id="rId36" Type="http://schemas.openxmlformats.org/officeDocument/2006/relationships/hyperlink" Target="https://www.scoresandodds.com/nfl/teams/raiders" TargetMode="External"/><Relationship Id="rId10" Type="http://schemas.openxmlformats.org/officeDocument/2006/relationships/hyperlink" Target="https://www.scoresandodds.com/nfl/teams/dolphins" TargetMode="External"/><Relationship Id="rId19" Type="http://schemas.openxmlformats.org/officeDocument/2006/relationships/hyperlink" Target="https://www.scoresandodds.com/nfl/teams/packers" TargetMode="External"/><Relationship Id="rId31" Type="http://schemas.openxmlformats.org/officeDocument/2006/relationships/hyperlink" Target="https://www.scoresandodds.com/nfl/teams/chiefs" TargetMode="External"/><Relationship Id="rId4" Type="http://schemas.openxmlformats.org/officeDocument/2006/relationships/hyperlink" Target="https://www.scoresandodds.com/nfl/props" TargetMode="External"/><Relationship Id="rId9" Type="http://schemas.openxmlformats.org/officeDocument/2006/relationships/hyperlink" Target="https://www.scoresandodds.com/nfl/teams/commanders" TargetMode="External"/><Relationship Id="rId14" Type="http://schemas.openxmlformats.org/officeDocument/2006/relationships/hyperlink" Target="https://www.scoresandodds.com/nfl/teams/falcons" TargetMode="External"/><Relationship Id="rId22" Type="http://schemas.openxmlformats.org/officeDocument/2006/relationships/hyperlink" Target="https://www.scoresandodds.com/nfl/teams/bills" TargetMode="External"/><Relationship Id="rId27" Type="http://schemas.openxmlformats.org/officeDocument/2006/relationships/hyperlink" Target="https://www.scoresandodds.com/nfl/teams/seahawks" TargetMode="External"/><Relationship Id="rId30" Type="http://schemas.openxmlformats.org/officeDocument/2006/relationships/hyperlink" Target="https://www.scoresandodds.com/nfl/teams/browns" TargetMode="External"/><Relationship Id="rId35" Type="http://schemas.openxmlformats.org/officeDocument/2006/relationships/hyperlink" Target="https://www.scoresandodds.com/nfl/teams/cowboys" TargetMode="External"/><Relationship Id="rId8" Type="http://schemas.openxmlformats.org/officeDocument/2006/relationships/hyperlink" Target="https://www.scoresandodds.com/nfl/teams/patriots" TargetMode="External"/><Relationship Id="rId3" Type="http://schemas.openxmlformats.org/officeDocument/2006/relationships/hyperlink" Target="https://www.scoresandodds.com/nfl/more-lines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resandodds.com/nfl/teams/vikings" TargetMode="External"/><Relationship Id="rId18" Type="http://schemas.openxmlformats.org/officeDocument/2006/relationships/hyperlink" Target="https://www.scoresandodds.com/nfl/teams/bears" TargetMode="External"/><Relationship Id="rId26" Type="http://schemas.openxmlformats.org/officeDocument/2006/relationships/hyperlink" Target="https://www.scoresandodds.com/nfl/teams/cardinals" TargetMode="External"/><Relationship Id="rId3" Type="http://schemas.openxmlformats.org/officeDocument/2006/relationships/hyperlink" Target="https://www.scoresandodds.com/nfl/more-lines" TargetMode="External"/><Relationship Id="rId21" Type="http://schemas.openxmlformats.org/officeDocument/2006/relationships/hyperlink" Target="https://www.scoresandodds.com/nfl/teams/jets" TargetMode="External"/><Relationship Id="rId34" Type="http://schemas.openxmlformats.org/officeDocument/2006/relationships/hyperlink" Target="https://www.scoresandodds.com/nfl/teams/49ers" TargetMode="External"/><Relationship Id="rId7" Type="http://schemas.openxmlformats.org/officeDocument/2006/relationships/hyperlink" Target="https://www.scoresandodds.com/nfl/teams/bills" TargetMode="External"/><Relationship Id="rId12" Type="http://schemas.openxmlformats.org/officeDocument/2006/relationships/hyperlink" Target="https://www.scoresandodds.com/nfl/teams/lions" TargetMode="External"/><Relationship Id="rId17" Type="http://schemas.openxmlformats.org/officeDocument/2006/relationships/hyperlink" Target="https://www.scoresandodds.com/nfl/teams/steelers" TargetMode="External"/><Relationship Id="rId25" Type="http://schemas.openxmlformats.org/officeDocument/2006/relationships/hyperlink" Target="https://www.scoresandodds.com/nfl/teams/jaguars" TargetMode="External"/><Relationship Id="rId33" Type="http://schemas.openxmlformats.org/officeDocument/2006/relationships/hyperlink" Target="https://www.scoresandodds.com/nfl/teams/panthers" TargetMode="External"/><Relationship Id="rId2" Type="http://schemas.openxmlformats.org/officeDocument/2006/relationships/hyperlink" Target="https://www.scoresandodds.com/nfl/consensus-picks" TargetMode="External"/><Relationship Id="rId16" Type="http://schemas.openxmlformats.org/officeDocument/2006/relationships/hyperlink" Target="https://www.scoresandodds.com/nfl/teams/chiefs" TargetMode="External"/><Relationship Id="rId20" Type="http://schemas.openxmlformats.org/officeDocument/2006/relationships/hyperlink" Target="https://www.scoresandodds.com/nfl/teams/bengals" TargetMode="External"/><Relationship Id="rId29" Type="http://schemas.openxmlformats.org/officeDocument/2006/relationships/hyperlink" Target="https://www.scoresandodds.com/nfl/teams/eagles" TargetMode="External"/><Relationship Id="rId1" Type="http://schemas.openxmlformats.org/officeDocument/2006/relationships/hyperlink" Target="https://www.scoresandodds.com/nfl/odds" TargetMode="External"/><Relationship Id="rId6" Type="http://schemas.openxmlformats.org/officeDocument/2006/relationships/hyperlink" Target="https://www.scoresandodds.com/nfl/picks" TargetMode="External"/><Relationship Id="rId11" Type="http://schemas.openxmlformats.org/officeDocument/2006/relationships/hyperlink" Target="https://www.scoresandodds.com/nfl/teams/giants" TargetMode="External"/><Relationship Id="rId24" Type="http://schemas.openxmlformats.org/officeDocument/2006/relationships/hyperlink" Target="https://www.scoresandodds.com/nfl/teams/raiders" TargetMode="External"/><Relationship Id="rId32" Type="http://schemas.openxmlformats.org/officeDocument/2006/relationships/hyperlink" Target="https://www.scoresandodds.com/nfl/teams/rams" TargetMode="External"/><Relationship Id="rId5" Type="http://schemas.openxmlformats.org/officeDocument/2006/relationships/hyperlink" Target="https://www.scoresandodds.com/nfl/parlays" TargetMode="External"/><Relationship Id="rId15" Type="http://schemas.openxmlformats.org/officeDocument/2006/relationships/hyperlink" Target="https://www.scoresandodds.com/nfl/teams/colts" TargetMode="External"/><Relationship Id="rId23" Type="http://schemas.openxmlformats.org/officeDocument/2006/relationships/hyperlink" Target="https://www.scoresandodds.com/nfl/teams/browns" TargetMode="External"/><Relationship Id="rId28" Type="http://schemas.openxmlformats.org/officeDocument/2006/relationships/hyperlink" Target="https://www.scoresandodds.com/nfl/teams/saints" TargetMode="External"/><Relationship Id="rId10" Type="http://schemas.openxmlformats.org/officeDocument/2006/relationships/hyperlink" Target="https://www.scoresandodds.com/nfl/teams/titans" TargetMode="External"/><Relationship Id="rId19" Type="http://schemas.openxmlformats.org/officeDocument/2006/relationships/hyperlink" Target="https://www.scoresandodds.com/nfl/teams/patriots" TargetMode="External"/><Relationship Id="rId31" Type="http://schemas.openxmlformats.org/officeDocument/2006/relationships/hyperlink" Target="https://www.scoresandodds.com/nfl/teams/buccaneers" TargetMode="External"/><Relationship Id="rId4" Type="http://schemas.openxmlformats.org/officeDocument/2006/relationships/hyperlink" Target="https://www.scoresandodds.com/nfl/props" TargetMode="External"/><Relationship Id="rId9" Type="http://schemas.openxmlformats.org/officeDocument/2006/relationships/hyperlink" Target="https://www.scoresandodds.com/nfl/teams/seahawks" TargetMode="External"/><Relationship Id="rId14" Type="http://schemas.openxmlformats.org/officeDocument/2006/relationships/hyperlink" Target="https://www.scoresandodds.com/nfl/teams/packers" TargetMode="External"/><Relationship Id="rId22" Type="http://schemas.openxmlformats.org/officeDocument/2006/relationships/hyperlink" Target="https://www.scoresandodds.com/nfl/teams/ravens" TargetMode="External"/><Relationship Id="rId27" Type="http://schemas.openxmlformats.org/officeDocument/2006/relationships/hyperlink" Target="https://www.scoresandodds.com/nfl/teams/falcons" TargetMode="External"/><Relationship Id="rId30" Type="http://schemas.openxmlformats.org/officeDocument/2006/relationships/hyperlink" Target="https://www.scoresandodds.com/nfl/teams/cowboys" TargetMode="External"/><Relationship Id="rId35" Type="http://schemas.openxmlformats.org/officeDocument/2006/relationships/drawing" Target="../drawings/drawing12.xml"/><Relationship Id="rId8" Type="http://schemas.openxmlformats.org/officeDocument/2006/relationships/hyperlink" Target="https://www.scoresandodds.com/nfl/teams/texans" TargetMode="External"/></Relationships>
</file>

<file path=xl/worksheets/_rels/sheet13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resandodds.com/nfl/teams/bears" TargetMode="External"/><Relationship Id="rId18" Type="http://schemas.openxmlformats.org/officeDocument/2006/relationships/hyperlink" Target="https://www.scoresandodds.com/nfl/teams/panthers" TargetMode="External"/><Relationship Id="rId26" Type="http://schemas.openxmlformats.org/officeDocument/2006/relationships/hyperlink" Target="https://www.scoresandodds.com/nfl/teams/buccaneers" TargetMode="External"/><Relationship Id="rId39" Type="http://schemas.openxmlformats.org/officeDocument/2006/relationships/drawing" Target="../drawings/drawing13.xml"/><Relationship Id="rId21" Type="http://schemas.openxmlformats.org/officeDocument/2006/relationships/hyperlink" Target="https://www.scoresandodds.com/nfl/teams/49ers" TargetMode="External"/><Relationship Id="rId34" Type="http://schemas.openxmlformats.org/officeDocument/2006/relationships/hyperlink" Target="https://www.scoresandodds.com/nfl/teams/chargers" TargetMode="External"/><Relationship Id="rId7" Type="http://schemas.openxmlformats.org/officeDocument/2006/relationships/hyperlink" Target="https://www.scoresandodds.com/nfl/teams/packers" TargetMode="External"/><Relationship Id="rId12" Type="http://schemas.openxmlformats.org/officeDocument/2006/relationships/hyperlink" Target="https://www.scoresandodds.com/nfl/teams/ravens" TargetMode="External"/><Relationship Id="rId17" Type="http://schemas.openxmlformats.org/officeDocument/2006/relationships/hyperlink" Target="https://www.scoresandodds.com/nfl/teams/rams" TargetMode="External"/><Relationship Id="rId25" Type="http://schemas.openxmlformats.org/officeDocument/2006/relationships/hyperlink" Target="https://www.scoresandodds.com/nfl/teams/cardinals" TargetMode="External"/><Relationship Id="rId33" Type="http://schemas.openxmlformats.org/officeDocument/2006/relationships/hyperlink" Target="https://www.scoresandodds.com/nfl/teams/raiders" TargetMode="External"/><Relationship Id="rId38" Type="http://schemas.openxmlformats.org/officeDocument/2006/relationships/hyperlink" Target="https://www.scoresandodds.com/nfl/teams/patriots" TargetMode="External"/><Relationship Id="rId2" Type="http://schemas.openxmlformats.org/officeDocument/2006/relationships/hyperlink" Target="https://www.scoresandodds.com/nfl/consensus-picks" TargetMode="External"/><Relationship Id="rId16" Type="http://schemas.openxmlformats.org/officeDocument/2006/relationships/hyperlink" Target="https://www.scoresandodds.com/nfl/teams/dolphins" TargetMode="External"/><Relationship Id="rId20" Type="http://schemas.openxmlformats.org/officeDocument/2006/relationships/hyperlink" Target="https://www.scoresandodds.com/nfl/teams/jets" TargetMode="External"/><Relationship Id="rId29" Type="http://schemas.openxmlformats.org/officeDocument/2006/relationships/hyperlink" Target="https://www.scoresandodds.com/nfl/teams/vikings" TargetMode="External"/><Relationship Id="rId1" Type="http://schemas.openxmlformats.org/officeDocument/2006/relationships/hyperlink" Target="https://www.scoresandodds.com/nfl/odds" TargetMode="External"/><Relationship Id="rId6" Type="http://schemas.openxmlformats.org/officeDocument/2006/relationships/hyperlink" Target="https://www.scoresandodds.com/nfl/picks" TargetMode="External"/><Relationship Id="rId11" Type="http://schemas.openxmlformats.org/officeDocument/2006/relationships/hyperlink" Target="https://www.scoresandodds.com/nfl/teams/bengals" TargetMode="External"/><Relationship Id="rId24" Type="http://schemas.openxmlformats.org/officeDocument/2006/relationships/hyperlink" Target="https://www.scoresandodds.com/nfl/teams/titans" TargetMode="External"/><Relationship Id="rId32" Type="http://schemas.openxmlformats.org/officeDocument/2006/relationships/hyperlink" Target="https://www.scoresandodds.com/nfl/teams/steelers" TargetMode="External"/><Relationship Id="rId37" Type="http://schemas.openxmlformats.org/officeDocument/2006/relationships/hyperlink" Target="https://www.scoresandodds.com/nfl/teams/giants" TargetMode="External"/><Relationship Id="rId5" Type="http://schemas.openxmlformats.org/officeDocument/2006/relationships/hyperlink" Target="https://www.scoresandodds.com/nfl/parlays" TargetMode="External"/><Relationship Id="rId15" Type="http://schemas.openxmlformats.org/officeDocument/2006/relationships/hyperlink" Target="https://www.scoresandodds.com/nfl/teams/saints" TargetMode="External"/><Relationship Id="rId23" Type="http://schemas.openxmlformats.org/officeDocument/2006/relationships/hyperlink" Target="https://www.scoresandodds.com/nfl/teams/jaguars" TargetMode="External"/><Relationship Id="rId28" Type="http://schemas.openxmlformats.org/officeDocument/2006/relationships/hyperlink" Target="https://www.scoresandodds.com/nfl/teams/colts" TargetMode="External"/><Relationship Id="rId36" Type="http://schemas.openxmlformats.org/officeDocument/2006/relationships/hyperlink" Target="https://www.scoresandodds.com/nfl/teams/commanders" TargetMode="External"/><Relationship Id="rId10" Type="http://schemas.openxmlformats.org/officeDocument/2006/relationships/hyperlink" Target="https://www.scoresandodds.com/nfl/teams/cowboys" TargetMode="External"/><Relationship Id="rId19" Type="http://schemas.openxmlformats.org/officeDocument/2006/relationships/hyperlink" Target="https://www.scoresandodds.com/nfl/teams/falcons" TargetMode="External"/><Relationship Id="rId31" Type="http://schemas.openxmlformats.org/officeDocument/2006/relationships/hyperlink" Target="https://www.scoresandodds.com/nfl/teams/bills" TargetMode="External"/><Relationship Id="rId4" Type="http://schemas.openxmlformats.org/officeDocument/2006/relationships/hyperlink" Target="https://www.scoresandodds.com/nfl/props" TargetMode="External"/><Relationship Id="rId9" Type="http://schemas.openxmlformats.org/officeDocument/2006/relationships/hyperlink" Target="https://www.scoresandodds.com/nfl/teams/chiefs" TargetMode="External"/><Relationship Id="rId14" Type="http://schemas.openxmlformats.org/officeDocument/2006/relationships/hyperlink" Target="https://www.scoresandodds.com/nfl/teams/eagles" TargetMode="External"/><Relationship Id="rId22" Type="http://schemas.openxmlformats.org/officeDocument/2006/relationships/hyperlink" Target="https://www.scoresandodds.com/nfl/teams/browns" TargetMode="External"/><Relationship Id="rId27" Type="http://schemas.openxmlformats.org/officeDocument/2006/relationships/hyperlink" Target="https://www.scoresandodds.com/nfl/teams/texans" TargetMode="External"/><Relationship Id="rId30" Type="http://schemas.openxmlformats.org/officeDocument/2006/relationships/hyperlink" Target="https://www.scoresandodds.com/nfl/teams/seahawks" TargetMode="External"/><Relationship Id="rId35" Type="http://schemas.openxmlformats.org/officeDocument/2006/relationships/hyperlink" Target="https://www.scoresandodds.com/nfl/teams/broncos" TargetMode="External"/><Relationship Id="rId8" Type="http://schemas.openxmlformats.org/officeDocument/2006/relationships/hyperlink" Target="https://www.scoresandodds.com/nfl/teams/lions" TargetMode="External"/><Relationship Id="rId3" Type="http://schemas.openxmlformats.org/officeDocument/2006/relationships/hyperlink" Target="https://www.scoresandodds.com/nfl/more-lines" TargetMode="External"/></Relationships>
</file>

<file path=xl/worksheets/_rels/sheet1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resandodds.com/nfl/teams/commanders" TargetMode="External"/><Relationship Id="rId18" Type="http://schemas.openxmlformats.org/officeDocument/2006/relationships/hyperlink" Target="https://www.scoresandodds.com/nfl/teams/buccaneers" TargetMode="External"/><Relationship Id="rId26" Type="http://schemas.openxmlformats.org/officeDocument/2006/relationships/hyperlink" Target="https://www.scoresandodds.com/nfl/teams/raiders" TargetMode="External"/><Relationship Id="rId3" Type="http://schemas.openxmlformats.org/officeDocument/2006/relationships/hyperlink" Target="https://www.scoresandodds.com/nfl/more-lines" TargetMode="External"/><Relationship Id="rId21" Type="http://schemas.openxmlformats.org/officeDocument/2006/relationships/hyperlink" Target="https://www.scoresandodds.com/nfl/teams/seahawks" TargetMode="External"/><Relationship Id="rId34" Type="http://schemas.openxmlformats.org/officeDocument/2006/relationships/hyperlink" Target="https://www.scoresandodds.com/nfl/teams/chargers" TargetMode="External"/><Relationship Id="rId7" Type="http://schemas.openxmlformats.org/officeDocument/2006/relationships/hyperlink" Target="https://www.scoresandodds.com/nfl/teams/cowboys" TargetMode="External"/><Relationship Id="rId12" Type="http://schemas.openxmlformats.org/officeDocument/2006/relationships/hyperlink" Target="https://www.scoresandodds.com/nfl/teams/browns" TargetMode="External"/><Relationship Id="rId17" Type="http://schemas.openxmlformats.org/officeDocument/2006/relationships/hyperlink" Target="https://www.scoresandodds.com/nfl/teams/saints" TargetMode="External"/><Relationship Id="rId25" Type="http://schemas.openxmlformats.org/officeDocument/2006/relationships/hyperlink" Target="https://www.scoresandodds.com/nfl/teams/broncos" TargetMode="External"/><Relationship Id="rId33" Type="http://schemas.openxmlformats.org/officeDocument/2006/relationships/hyperlink" Target="https://www.scoresandodds.com/nfl/teams/eagles" TargetMode="External"/><Relationship Id="rId2" Type="http://schemas.openxmlformats.org/officeDocument/2006/relationships/hyperlink" Target="https://www.scoresandodds.com/nfl/consensus-picks" TargetMode="External"/><Relationship Id="rId16" Type="http://schemas.openxmlformats.org/officeDocument/2006/relationships/hyperlink" Target="https://www.scoresandodds.com/nfl/teams/bills" TargetMode="External"/><Relationship Id="rId20" Type="http://schemas.openxmlformats.org/officeDocument/2006/relationships/hyperlink" Target="https://www.scoresandodds.com/nfl/teams/ravens" TargetMode="External"/><Relationship Id="rId29" Type="http://schemas.openxmlformats.org/officeDocument/2006/relationships/hyperlink" Target="https://www.scoresandodds.com/nfl/teams/bears" TargetMode="External"/><Relationship Id="rId1" Type="http://schemas.openxmlformats.org/officeDocument/2006/relationships/hyperlink" Target="https://www.scoresandodds.com/nfl/odds" TargetMode="External"/><Relationship Id="rId6" Type="http://schemas.openxmlformats.org/officeDocument/2006/relationships/hyperlink" Target="https://www.scoresandodds.com/nfl/picks" TargetMode="External"/><Relationship Id="rId11" Type="http://schemas.openxmlformats.org/officeDocument/2006/relationships/hyperlink" Target="https://www.scoresandodds.com/nfl/teams/titans" TargetMode="External"/><Relationship Id="rId24" Type="http://schemas.openxmlformats.org/officeDocument/2006/relationships/hyperlink" Target="https://www.scoresandodds.com/nfl/teams/jets" TargetMode="External"/><Relationship Id="rId32" Type="http://schemas.openxmlformats.org/officeDocument/2006/relationships/hyperlink" Target="https://www.scoresandodds.com/nfl/teams/chiefs" TargetMode="External"/><Relationship Id="rId5" Type="http://schemas.openxmlformats.org/officeDocument/2006/relationships/hyperlink" Target="https://www.scoresandodds.com/nfl/parlays" TargetMode="External"/><Relationship Id="rId15" Type="http://schemas.openxmlformats.org/officeDocument/2006/relationships/hyperlink" Target="https://www.scoresandodds.com/nfl/teams/bengals" TargetMode="External"/><Relationship Id="rId23" Type="http://schemas.openxmlformats.org/officeDocument/2006/relationships/hyperlink" Target="https://www.scoresandodds.com/nfl/teams/dolphins" TargetMode="External"/><Relationship Id="rId28" Type="http://schemas.openxmlformats.org/officeDocument/2006/relationships/hyperlink" Target="https://www.scoresandodds.com/nfl/teams/cardinals" TargetMode="External"/><Relationship Id="rId10" Type="http://schemas.openxmlformats.org/officeDocument/2006/relationships/hyperlink" Target="https://www.scoresandodds.com/nfl/teams/jaguars" TargetMode="External"/><Relationship Id="rId19" Type="http://schemas.openxmlformats.org/officeDocument/2006/relationships/hyperlink" Target="https://www.scoresandodds.com/nfl/teams/steelers" TargetMode="External"/><Relationship Id="rId31" Type="http://schemas.openxmlformats.org/officeDocument/2006/relationships/hyperlink" Target="https://www.scoresandodds.com/nfl/teams/texans" TargetMode="External"/><Relationship Id="rId4" Type="http://schemas.openxmlformats.org/officeDocument/2006/relationships/hyperlink" Target="https://www.scoresandodds.com/nfl/props" TargetMode="External"/><Relationship Id="rId9" Type="http://schemas.openxmlformats.org/officeDocument/2006/relationships/hyperlink" Target="https://www.scoresandodds.com/nfl/teams/colts" TargetMode="External"/><Relationship Id="rId14" Type="http://schemas.openxmlformats.org/officeDocument/2006/relationships/hyperlink" Target="https://www.scoresandodds.com/nfl/teams/vikings" TargetMode="External"/><Relationship Id="rId22" Type="http://schemas.openxmlformats.org/officeDocument/2006/relationships/hyperlink" Target="https://www.scoresandodds.com/nfl/teams/falcons" TargetMode="External"/><Relationship Id="rId27" Type="http://schemas.openxmlformats.org/officeDocument/2006/relationships/hyperlink" Target="https://www.scoresandodds.com/nfl/teams/rams" TargetMode="External"/><Relationship Id="rId30" Type="http://schemas.openxmlformats.org/officeDocument/2006/relationships/hyperlink" Target="https://www.scoresandodds.com/nfl/teams/packers" TargetMode="External"/><Relationship Id="rId35" Type="http://schemas.openxmlformats.org/officeDocument/2006/relationships/drawing" Target="../drawings/drawing14.xml"/><Relationship Id="rId8" Type="http://schemas.openxmlformats.org/officeDocument/2006/relationships/hyperlink" Target="https://www.scoresandodds.com/nfl/teams/lions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resandodds.com/nfl/teams/chargers" TargetMode="External"/><Relationship Id="rId18" Type="http://schemas.openxmlformats.org/officeDocument/2006/relationships/hyperlink" Target="https://www.scoresandodds.com/nfl/teams/eagles" TargetMode="External"/><Relationship Id="rId26" Type="http://schemas.openxmlformats.org/officeDocument/2006/relationships/hyperlink" Target="https://www.scoresandodds.com/nfl/teams/saints" TargetMode="External"/><Relationship Id="rId39" Type="http://schemas.openxmlformats.org/officeDocument/2006/relationships/drawing" Target="../drawings/drawing15.xml"/><Relationship Id="rId21" Type="http://schemas.openxmlformats.org/officeDocument/2006/relationships/hyperlink" Target="https://www.scoresandodds.com/nfl/teams/cardinals" TargetMode="External"/><Relationship Id="rId34" Type="http://schemas.openxmlformats.org/officeDocument/2006/relationships/hyperlink" Target="https://www.scoresandodds.com/nfl/teams/49ers" TargetMode="External"/><Relationship Id="rId7" Type="http://schemas.openxmlformats.org/officeDocument/2006/relationships/hyperlink" Target="https://www.scoresandodds.com/nfl/teams/falcons" TargetMode="External"/><Relationship Id="rId12" Type="http://schemas.openxmlformats.org/officeDocument/2006/relationships/hyperlink" Target="https://www.scoresandodds.com/nfl/teams/bears" TargetMode="External"/><Relationship Id="rId17" Type="http://schemas.openxmlformats.org/officeDocument/2006/relationships/hyperlink" Target="https://www.scoresandodds.com/nfl/teams/raiders" TargetMode="External"/><Relationship Id="rId25" Type="http://schemas.openxmlformats.org/officeDocument/2006/relationships/hyperlink" Target="https://www.scoresandodds.com/nfl/teams/panthers" TargetMode="External"/><Relationship Id="rId33" Type="http://schemas.openxmlformats.org/officeDocument/2006/relationships/hyperlink" Target="https://www.scoresandodds.com/nfl/teams/titans" TargetMode="External"/><Relationship Id="rId38" Type="http://schemas.openxmlformats.org/officeDocument/2006/relationships/hyperlink" Target="https://www.scoresandodds.com/nfl/teams/steelers" TargetMode="External"/><Relationship Id="rId2" Type="http://schemas.openxmlformats.org/officeDocument/2006/relationships/hyperlink" Target="https://www.scoresandodds.com/nfl/consensus-picks" TargetMode="External"/><Relationship Id="rId16" Type="http://schemas.openxmlformats.org/officeDocument/2006/relationships/hyperlink" Target="https://www.scoresandodds.com/nfl/teams/jaguars" TargetMode="External"/><Relationship Id="rId20" Type="http://schemas.openxmlformats.org/officeDocument/2006/relationships/hyperlink" Target="https://www.scoresandodds.com/nfl/teams/patriots" TargetMode="External"/><Relationship Id="rId29" Type="http://schemas.openxmlformats.org/officeDocument/2006/relationships/hyperlink" Target="https://www.scoresandodds.com/nfl/teams/lions" TargetMode="External"/><Relationship Id="rId1" Type="http://schemas.openxmlformats.org/officeDocument/2006/relationships/hyperlink" Target="https://www.scoresandodds.com/nfl/odds" TargetMode="External"/><Relationship Id="rId6" Type="http://schemas.openxmlformats.org/officeDocument/2006/relationships/hyperlink" Target="https://www.scoresandodds.com/nfl/picks" TargetMode="External"/><Relationship Id="rId11" Type="http://schemas.openxmlformats.org/officeDocument/2006/relationships/hyperlink" Target="https://www.scoresandodds.com/nfl/teams/browns" TargetMode="External"/><Relationship Id="rId24" Type="http://schemas.openxmlformats.org/officeDocument/2006/relationships/hyperlink" Target="https://www.scoresandodds.com/nfl/teams/bengals" TargetMode="External"/><Relationship Id="rId32" Type="http://schemas.openxmlformats.org/officeDocument/2006/relationships/hyperlink" Target="https://www.scoresandodds.com/nfl/teams/broncos" TargetMode="External"/><Relationship Id="rId37" Type="http://schemas.openxmlformats.org/officeDocument/2006/relationships/hyperlink" Target="https://www.scoresandodds.com/nfl/teams/dolphins" TargetMode="External"/><Relationship Id="rId5" Type="http://schemas.openxmlformats.org/officeDocument/2006/relationships/hyperlink" Target="https://www.scoresandodds.com/nfl/parlays" TargetMode="External"/><Relationship Id="rId15" Type="http://schemas.openxmlformats.org/officeDocument/2006/relationships/hyperlink" Target="https://www.scoresandodds.com/nfl/teams/jets" TargetMode="External"/><Relationship Id="rId23" Type="http://schemas.openxmlformats.org/officeDocument/2006/relationships/hyperlink" Target="https://www.scoresandodds.com/nfl/teams/ravens" TargetMode="External"/><Relationship Id="rId28" Type="http://schemas.openxmlformats.org/officeDocument/2006/relationships/hyperlink" Target="https://www.scoresandodds.com/nfl/teams/seahawks" TargetMode="External"/><Relationship Id="rId36" Type="http://schemas.openxmlformats.org/officeDocument/2006/relationships/hyperlink" Target="https://www.scoresandodds.com/nfl/teams/cowboys" TargetMode="External"/><Relationship Id="rId10" Type="http://schemas.openxmlformats.org/officeDocument/2006/relationships/hyperlink" Target="https://www.scoresandodds.com/nfl/teams/giants" TargetMode="External"/><Relationship Id="rId19" Type="http://schemas.openxmlformats.org/officeDocument/2006/relationships/hyperlink" Target="https://www.scoresandodds.com/nfl/teams/bills" TargetMode="External"/><Relationship Id="rId31" Type="http://schemas.openxmlformats.org/officeDocument/2006/relationships/hyperlink" Target="https://www.scoresandodds.com/nfl/teams/packers" TargetMode="External"/><Relationship Id="rId4" Type="http://schemas.openxmlformats.org/officeDocument/2006/relationships/hyperlink" Target="https://www.scoresandodds.com/nfl/props" TargetMode="External"/><Relationship Id="rId9" Type="http://schemas.openxmlformats.org/officeDocument/2006/relationships/hyperlink" Target="https://www.scoresandodds.com/nfl/teams/commanders" TargetMode="External"/><Relationship Id="rId14" Type="http://schemas.openxmlformats.org/officeDocument/2006/relationships/hyperlink" Target="https://www.scoresandodds.com/nfl/teams/chiefs" TargetMode="External"/><Relationship Id="rId22" Type="http://schemas.openxmlformats.org/officeDocument/2006/relationships/hyperlink" Target="https://www.scoresandodds.com/nfl/teams/texans" TargetMode="External"/><Relationship Id="rId27" Type="http://schemas.openxmlformats.org/officeDocument/2006/relationships/hyperlink" Target="https://www.scoresandodds.com/nfl/teams/colts" TargetMode="External"/><Relationship Id="rId30" Type="http://schemas.openxmlformats.org/officeDocument/2006/relationships/hyperlink" Target="https://www.scoresandodds.com/nfl/teams/rams" TargetMode="External"/><Relationship Id="rId35" Type="http://schemas.openxmlformats.org/officeDocument/2006/relationships/hyperlink" Target="https://www.scoresandodds.com/nfl/teams/vikings" TargetMode="External"/><Relationship Id="rId8" Type="http://schemas.openxmlformats.org/officeDocument/2006/relationships/hyperlink" Target="https://www.scoresandodds.com/nfl/teams/buccaneers" TargetMode="External"/><Relationship Id="rId3" Type="http://schemas.openxmlformats.org/officeDocument/2006/relationships/hyperlink" Target="https://www.scoresandodds.com/nfl/more-lines" TargetMode="External"/></Relationships>
</file>

<file path=xl/worksheets/_rels/sheet16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resandodds.com/nfl/teams/jets" TargetMode="External"/><Relationship Id="rId18" Type="http://schemas.openxmlformats.org/officeDocument/2006/relationships/hyperlink" Target="https://www.scoresandodds.com/nfl/teams/panthers" TargetMode="External"/><Relationship Id="rId26" Type="http://schemas.openxmlformats.org/officeDocument/2006/relationships/hyperlink" Target="https://www.scoresandodds.com/nfl/teams/browns" TargetMode="External"/><Relationship Id="rId39" Type="http://schemas.openxmlformats.org/officeDocument/2006/relationships/drawing" Target="../drawings/drawing16.xml"/><Relationship Id="rId21" Type="http://schemas.openxmlformats.org/officeDocument/2006/relationships/hyperlink" Target="https://www.scoresandodds.com/nfl/teams/vikings" TargetMode="External"/><Relationship Id="rId34" Type="http://schemas.openxmlformats.org/officeDocument/2006/relationships/hyperlink" Target="https://www.scoresandodds.com/nfl/teams/lions" TargetMode="External"/><Relationship Id="rId7" Type="http://schemas.openxmlformats.org/officeDocument/2006/relationships/hyperlink" Target="https://www.scoresandodds.com/nfl/teams/rams" TargetMode="External"/><Relationship Id="rId12" Type="http://schemas.openxmlformats.org/officeDocument/2006/relationships/hyperlink" Target="https://www.scoresandodds.com/nfl/teams/bears" TargetMode="External"/><Relationship Id="rId17" Type="http://schemas.openxmlformats.org/officeDocument/2006/relationships/hyperlink" Target="https://www.scoresandodds.com/nfl/teams/buccaneers" TargetMode="External"/><Relationship Id="rId25" Type="http://schemas.openxmlformats.org/officeDocument/2006/relationships/hyperlink" Target="https://www.scoresandodds.com/nfl/teams/bills" TargetMode="External"/><Relationship Id="rId33" Type="http://schemas.openxmlformats.org/officeDocument/2006/relationships/hyperlink" Target="https://www.scoresandodds.com/nfl/teams/steelers" TargetMode="External"/><Relationship Id="rId38" Type="http://schemas.openxmlformats.org/officeDocument/2006/relationships/hyperlink" Target="https://www.scoresandodds.com/nfl/teams/colts" TargetMode="External"/><Relationship Id="rId2" Type="http://schemas.openxmlformats.org/officeDocument/2006/relationships/hyperlink" Target="https://www.scoresandodds.com/nfl/consensus-picks" TargetMode="External"/><Relationship Id="rId16" Type="http://schemas.openxmlformats.org/officeDocument/2006/relationships/hyperlink" Target="https://www.scoresandodds.com/nfl/teams/cowboys" TargetMode="External"/><Relationship Id="rId20" Type="http://schemas.openxmlformats.org/officeDocument/2006/relationships/hyperlink" Target="https://www.scoresandodds.com/nfl/teams/titans" TargetMode="External"/><Relationship Id="rId29" Type="http://schemas.openxmlformats.org/officeDocument/2006/relationships/hyperlink" Target="https://www.scoresandodds.com/nfl/teams/jaguars" TargetMode="External"/><Relationship Id="rId1" Type="http://schemas.openxmlformats.org/officeDocument/2006/relationships/hyperlink" Target="https://www.scoresandodds.com/nfl/odds" TargetMode="External"/><Relationship Id="rId6" Type="http://schemas.openxmlformats.org/officeDocument/2006/relationships/hyperlink" Target="https://www.scoresandodds.com/nfl/picks" TargetMode="External"/><Relationship Id="rId11" Type="http://schemas.openxmlformats.org/officeDocument/2006/relationships/hyperlink" Target="https://www.scoresandodds.com/nfl/teams/packers" TargetMode="External"/><Relationship Id="rId24" Type="http://schemas.openxmlformats.org/officeDocument/2006/relationships/hyperlink" Target="https://www.scoresandodds.com/nfl/teams/dolphins" TargetMode="External"/><Relationship Id="rId32" Type="http://schemas.openxmlformats.org/officeDocument/2006/relationships/hyperlink" Target="https://www.scoresandodds.com/nfl/teams/texans" TargetMode="External"/><Relationship Id="rId37" Type="http://schemas.openxmlformats.org/officeDocument/2006/relationships/hyperlink" Target="https://www.scoresandodds.com/nfl/teams/49ers" TargetMode="External"/><Relationship Id="rId5" Type="http://schemas.openxmlformats.org/officeDocument/2006/relationships/hyperlink" Target="https://www.scoresandodds.com/nfl/parlays" TargetMode="External"/><Relationship Id="rId15" Type="http://schemas.openxmlformats.org/officeDocument/2006/relationships/hyperlink" Target="https://www.scoresandodds.com/nfl/teams/chargers" TargetMode="External"/><Relationship Id="rId23" Type="http://schemas.openxmlformats.org/officeDocument/2006/relationships/hyperlink" Target="https://www.scoresandodds.com/nfl/teams/bengals" TargetMode="External"/><Relationship Id="rId28" Type="http://schemas.openxmlformats.org/officeDocument/2006/relationships/hyperlink" Target="https://www.scoresandodds.com/nfl/teams/cardinals" TargetMode="External"/><Relationship Id="rId36" Type="http://schemas.openxmlformats.org/officeDocument/2006/relationships/hyperlink" Target="https://www.scoresandodds.com/nfl/teams/ravens" TargetMode="External"/><Relationship Id="rId10" Type="http://schemas.openxmlformats.org/officeDocument/2006/relationships/hyperlink" Target="https://www.scoresandodds.com/nfl/teams/commanders" TargetMode="External"/><Relationship Id="rId19" Type="http://schemas.openxmlformats.org/officeDocument/2006/relationships/hyperlink" Target="https://www.scoresandodds.com/nfl/teams/chiefs" TargetMode="External"/><Relationship Id="rId31" Type="http://schemas.openxmlformats.org/officeDocument/2006/relationships/hyperlink" Target="https://www.scoresandodds.com/nfl/teams/raiders" TargetMode="External"/><Relationship Id="rId4" Type="http://schemas.openxmlformats.org/officeDocument/2006/relationships/hyperlink" Target="https://www.scoresandodds.com/nfl/props" TargetMode="External"/><Relationship Id="rId9" Type="http://schemas.openxmlformats.org/officeDocument/2006/relationships/hyperlink" Target="https://www.scoresandodds.com/nfl/teams/eagles" TargetMode="External"/><Relationship Id="rId14" Type="http://schemas.openxmlformats.org/officeDocument/2006/relationships/hyperlink" Target="https://www.scoresandodds.com/nfl/teams/saints" TargetMode="External"/><Relationship Id="rId22" Type="http://schemas.openxmlformats.org/officeDocument/2006/relationships/hyperlink" Target="https://www.scoresandodds.com/nfl/teams/giants" TargetMode="External"/><Relationship Id="rId27" Type="http://schemas.openxmlformats.org/officeDocument/2006/relationships/hyperlink" Target="https://www.scoresandodds.com/nfl/teams/falcons" TargetMode="External"/><Relationship Id="rId30" Type="http://schemas.openxmlformats.org/officeDocument/2006/relationships/hyperlink" Target="https://www.scoresandodds.com/nfl/teams/broncos" TargetMode="External"/><Relationship Id="rId35" Type="http://schemas.openxmlformats.org/officeDocument/2006/relationships/hyperlink" Target="https://www.scoresandodds.com/nfl/teams/patriots" TargetMode="External"/><Relationship Id="rId8" Type="http://schemas.openxmlformats.org/officeDocument/2006/relationships/hyperlink" Target="https://www.scoresandodds.com/nfl/teams/seahawks" TargetMode="External"/><Relationship Id="rId3" Type="http://schemas.openxmlformats.org/officeDocument/2006/relationships/hyperlink" Target="https://www.scoresandodds.com/nfl/more-lines" TargetMode="External"/></Relationships>
</file>

<file path=xl/worksheets/_rels/sheet17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resandodds.com/nfl/teams/texans" TargetMode="External"/><Relationship Id="rId18" Type="http://schemas.openxmlformats.org/officeDocument/2006/relationships/hyperlink" Target="https://www.scoresandodds.com/nfl/teams/jets" TargetMode="External"/><Relationship Id="rId26" Type="http://schemas.openxmlformats.org/officeDocument/2006/relationships/hyperlink" Target="https://www.scoresandodds.com/nfl/teams/titans" TargetMode="External"/><Relationship Id="rId39" Type="http://schemas.openxmlformats.org/officeDocument/2006/relationships/drawing" Target="../drawings/drawing17.xml"/><Relationship Id="rId21" Type="http://schemas.openxmlformats.org/officeDocument/2006/relationships/hyperlink" Target="https://www.scoresandodds.com/nfl/teams/jaguars" TargetMode="External"/><Relationship Id="rId34" Type="http://schemas.openxmlformats.org/officeDocument/2006/relationships/hyperlink" Target="https://www.scoresandodds.com/nfl/teams/bills" TargetMode="External"/><Relationship Id="rId7" Type="http://schemas.openxmlformats.org/officeDocument/2006/relationships/hyperlink" Target="https://www.scoresandodds.com/nfl/teams/cowboys" TargetMode="External"/><Relationship Id="rId12" Type="http://schemas.openxmlformats.org/officeDocument/2006/relationships/hyperlink" Target="https://www.scoresandodds.com/nfl/teams/chiefs" TargetMode="External"/><Relationship Id="rId17" Type="http://schemas.openxmlformats.org/officeDocument/2006/relationships/hyperlink" Target="https://www.scoresandodds.com/nfl/teams/patriots" TargetMode="External"/><Relationship Id="rId25" Type="http://schemas.openxmlformats.org/officeDocument/2006/relationships/hyperlink" Target="https://www.scoresandodds.com/nfl/teams/saints" TargetMode="External"/><Relationship Id="rId33" Type="http://schemas.openxmlformats.org/officeDocument/2006/relationships/hyperlink" Target="https://www.scoresandodds.com/nfl/teams/eagles" TargetMode="External"/><Relationship Id="rId38" Type="http://schemas.openxmlformats.org/officeDocument/2006/relationships/hyperlink" Target="https://www.scoresandodds.com/nfl/teams/falcons" TargetMode="External"/><Relationship Id="rId2" Type="http://schemas.openxmlformats.org/officeDocument/2006/relationships/hyperlink" Target="https://www.scoresandodds.com/nfl/consensus-picks" TargetMode="External"/><Relationship Id="rId16" Type="http://schemas.openxmlformats.org/officeDocument/2006/relationships/hyperlink" Target="https://www.scoresandodds.com/nfl/teams/packers" TargetMode="External"/><Relationship Id="rId20" Type="http://schemas.openxmlformats.org/officeDocument/2006/relationships/hyperlink" Target="https://www.scoresandodds.com/nfl/teams/browns" TargetMode="External"/><Relationship Id="rId29" Type="http://schemas.openxmlformats.org/officeDocument/2006/relationships/hyperlink" Target="https://www.scoresandodds.com/nfl/teams/buccaneers" TargetMode="External"/><Relationship Id="rId1" Type="http://schemas.openxmlformats.org/officeDocument/2006/relationships/hyperlink" Target="https://www.scoresandodds.com/nfl/odds" TargetMode="External"/><Relationship Id="rId6" Type="http://schemas.openxmlformats.org/officeDocument/2006/relationships/hyperlink" Target="https://www.scoresandodds.com/nfl/picks" TargetMode="External"/><Relationship Id="rId11" Type="http://schemas.openxmlformats.org/officeDocument/2006/relationships/hyperlink" Target="https://www.scoresandodds.com/nfl/teams/broncos" TargetMode="External"/><Relationship Id="rId24" Type="http://schemas.openxmlformats.org/officeDocument/2006/relationships/hyperlink" Target="https://www.scoresandodds.com/nfl/teams/bengals" TargetMode="External"/><Relationship Id="rId32" Type="http://schemas.openxmlformats.org/officeDocument/2006/relationships/hyperlink" Target="https://www.scoresandodds.com/nfl/teams/raiders" TargetMode="External"/><Relationship Id="rId37" Type="http://schemas.openxmlformats.org/officeDocument/2006/relationships/hyperlink" Target="https://www.scoresandodds.com/nfl/teams/rams" TargetMode="External"/><Relationship Id="rId5" Type="http://schemas.openxmlformats.org/officeDocument/2006/relationships/hyperlink" Target="https://www.scoresandodds.com/nfl/parlays" TargetMode="External"/><Relationship Id="rId15" Type="http://schemas.openxmlformats.org/officeDocument/2006/relationships/hyperlink" Target="https://www.scoresandodds.com/nfl/teams/ravens" TargetMode="External"/><Relationship Id="rId23" Type="http://schemas.openxmlformats.org/officeDocument/2006/relationships/hyperlink" Target="https://www.scoresandodds.com/nfl/teams/cardinals" TargetMode="External"/><Relationship Id="rId28" Type="http://schemas.openxmlformats.org/officeDocument/2006/relationships/hyperlink" Target="https://www.scoresandodds.com/nfl/teams/panthers" TargetMode="External"/><Relationship Id="rId36" Type="http://schemas.openxmlformats.org/officeDocument/2006/relationships/hyperlink" Target="https://www.scoresandodds.com/nfl/teams/49ers" TargetMode="External"/><Relationship Id="rId10" Type="http://schemas.openxmlformats.org/officeDocument/2006/relationships/hyperlink" Target="https://www.scoresandodds.com/nfl/teams/vikings" TargetMode="External"/><Relationship Id="rId19" Type="http://schemas.openxmlformats.org/officeDocument/2006/relationships/hyperlink" Target="https://www.scoresandodds.com/nfl/teams/steelers" TargetMode="External"/><Relationship Id="rId31" Type="http://schemas.openxmlformats.org/officeDocument/2006/relationships/hyperlink" Target="https://www.scoresandodds.com/nfl/teams/giants" TargetMode="External"/><Relationship Id="rId4" Type="http://schemas.openxmlformats.org/officeDocument/2006/relationships/hyperlink" Target="https://www.scoresandodds.com/nfl/props" TargetMode="External"/><Relationship Id="rId9" Type="http://schemas.openxmlformats.org/officeDocument/2006/relationships/hyperlink" Target="https://www.scoresandodds.com/nfl/teams/lions" TargetMode="External"/><Relationship Id="rId14" Type="http://schemas.openxmlformats.org/officeDocument/2006/relationships/hyperlink" Target="https://www.scoresandodds.com/nfl/teams/chargers" TargetMode="External"/><Relationship Id="rId22" Type="http://schemas.openxmlformats.org/officeDocument/2006/relationships/hyperlink" Target="https://www.scoresandodds.com/nfl/teams/colts" TargetMode="External"/><Relationship Id="rId27" Type="http://schemas.openxmlformats.org/officeDocument/2006/relationships/hyperlink" Target="https://www.scoresandodds.com/nfl/teams/seahawks" TargetMode="External"/><Relationship Id="rId30" Type="http://schemas.openxmlformats.org/officeDocument/2006/relationships/hyperlink" Target="https://www.scoresandodds.com/nfl/teams/dolphins" TargetMode="External"/><Relationship Id="rId35" Type="http://schemas.openxmlformats.org/officeDocument/2006/relationships/hyperlink" Target="https://www.scoresandodds.com/nfl/teams/bears" TargetMode="External"/><Relationship Id="rId8" Type="http://schemas.openxmlformats.org/officeDocument/2006/relationships/hyperlink" Target="https://www.scoresandodds.com/nfl/teams/commanders" TargetMode="External"/><Relationship Id="rId3" Type="http://schemas.openxmlformats.org/officeDocument/2006/relationships/hyperlink" Target="https://www.scoresandodds.com/nfl/more-lines" TargetMode="External"/></Relationships>
</file>

<file path=xl/worksheets/_rels/sheet18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coresandodds.com/nfl/teams/colts" TargetMode="External"/><Relationship Id="rId18" Type="http://schemas.openxmlformats.org/officeDocument/2006/relationships/hyperlink" Target="https://www.scoresandodds.com/nfl/teams/giants" TargetMode="External"/><Relationship Id="rId26" Type="http://schemas.openxmlformats.org/officeDocument/2006/relationships/hyperlink" Target="https://www.scoresandodds.com/nfl/teams/rams" TargetMode="External"/><Relationship Id="rId39" Type="http://schemas.openxmlformats.org/officeDocument/2006/relationships/drawing" Target="../drawings/drawing18.xml"/><Relationship Id="rId21" Type="http://schemas.openxmlformats.org/officeDocument/2006/relationships/hyperlink" Target="https://www.scoresandodds.com/nfl/teams/packers" TargetMode="External"/><Relationship Id="rId34" Type="http://schemas.openxmlformats.org/officeDocument/2006/relationships/hyperlink" Target="https://www.scoresandodds.com/nfl/teams/bears" TargetMode="External"/><Relationship Id="rId7" Type="http://schemas.openxmlformats.org/officeDocument/2006/relationships/hyperlink" Target="https://www.scoresandodds.com/nfl/teams/panthers" TargetMode="External"/><Relationship Id="rId12" Type="http://schemas.openxmlformats.org/officeDocument/2006/relationships/hyperlink" Target="https://www.scoresandodds.com/nfl/teams/bengals" TargetMode="External"/><Relationship Id="rId17" Type="http://schemas.openxmlformats.org/officeDocument/2006/relationships/hyperlink" Target="https://www.scoresandodds.com/nfl/teams/cowboys" TargetMode="External"/><Relationship Id="rId25" Type="http://schemas.openxmlformats.org/officeDocument/2006/relationships/hyperlink" Target="https://www.scoresandodds.com/nfl/teams/cardinals" TargetMode="External"/><Relationship Id="rId33" Type="http://schemas.openxmlformats.org/officeDocument/2006/relationships/hyperlink" Target="https://www.scoresandodds.com/nfl/teams/lions" TargetMode="External"/><Relationship Id="rId38" Type="http://schemas.openxmlformats.org/officeDocument/2006/relationships/hyperlink" Target="https://www.scoresandodds.com/nfl/teams/steelers" TargetMode="External"/><Relationship Id="rId2" Type="http://schemas.openxmlformats.org/officeDocument/2006/relationships/hyperlink" Target="https://www.scoresandodds.com/nfl/consensus-picks" TargetMode="External"/><Relationship Id="rId16" Type="http://schemas.openxmlformats.org/officeDocument/2006/relationships/hyperlink" Target="https://www.scoresandodds.com/nfl/teams/falcons" TargetMode="External"/><Relationship Id="rId20" Type="http://schemas.openxmlformats.org/officeDocument/2006/relationships/hyperlink" Target="https://www.scoresandodds.com/nfl/teams/jaguars" TargetMode="External"/><Relationship Id="rId29" Type="http://schemas.openxmlformats.org/officeDocument/2006/relationships/hyperlink" Target="https://www.scoresandodds.com/nfl/teams/chargers" TargetMode="External"/><Relationship Id="rId1" Type="http://schemas.openxmlformats.org/officeDocument/2006/relationships/hyperlink" Target="https://www.scoresandodds.com/nfl/odds" TargetMode="External"/><Relationship Id="rId6" Type="http://schemas.openxmlformats.org/officeDocument/2006/relationships/hyperlink" Target="https://www.scoresandodds.com/nfl/picks" TargetMode="External"/><Relationship Id="rId11" Type="http://schemas.openxmlformats.org/officeDocument/2006/relationships/hyperlink" Target="https://www.scoresandodds.com/nfl/teams/browns" TargetMode="External"/><Relationship Id="rId24" Type="http://schemas.openxmlformats.org/officeDocument/2006/relationships/hyperlink" Target="https://www.scoresandodds.com/nfl/teams/bills" TargetMode="External"/><Relationship Id="rId32" Type="http://schemas.openxmlformats.org/officeDocument/2006/relationships/hyperlink" Target="https://www.scoresandodds.com/nfl/teams/eagles" TargetMode="External"/><Relationship Id="rId37" Type="http://schemas.openxmlformats.org/officeDocument/2006/relationships/hyperlink" Target="https://www.scoresandodds.com/nfl/teams/ravens" TargetMode="External"/><Relationship Id="rId5" Type="http://schemas.openxmlformats.org/officeDocument/2006/relationships/hyperlink" Target="https://www.scoresandodds.com/nfl/parlays" TargetMode="External"/><Relationship Id="rId15" Type="http://schemas.openxmlformats.org/officeDocument/2006/relationships/hyperlink" Target="https://www.scoresandodds.com/nfl/teams/saints" TargetMode="External"/><Relationship Id="rId23" Type="http://schemas.openxmlformats.org/officeDocument/2006/relationships/hyperlink" Target="https://www.scoresandodds.com/nfl/teams/jets" TargetMode="External"/><Relationship Id="rId28" Type="http://schemas.openxmlformats.org/officeDocument/2006/relationships/hyperlink" Target="https://www.scoresandodds.com/nfl/teams/raiders" TargetMode="External"/><Relationship Id="rId36" Type="http://schemas.openxmlformats.org/officeDocument/2006/relationships/hyperlink" Target="https://www.scoresandodds.com/nfl/teams/patriots" TargetMode="External"/><Relationship Id="rId10" Type="http://schemas.openxmlformats.org/officeDocument/2006/relationships/hyperlink" Target="https://www.scoresandodds.com/nfl/teams/49ers" TargetMode="External"/><Relationship Id="rId19" Type="http://schemas.openxmlformats.org/officeDocument/2006/relationships/hyperlink" Target="https://www.scoresandodds.com/nfl/teams/titans" TargetMode="External"/><Relationship Id="rId31" Type="http://schemas.openxmlformats.org/officeDocument/2006/relationships/hyperlink" Target="https://www.scoresandodds.com/nfl/teams/commanders" TargetMode="External"/><Relationship Id="rId4" Type="http://schemas.openxmlformats.org/officeDocument/2006/relationships/hyperlink" Target="https://www.scoresandodds.com/nfl/props" TargetMode="External"/><Relationship Id="rId9" Type="http://schemas.openxmlformats.org/officeDocument/2006/relationships/hyperlink" Target="https://www.scoresandodds.com/nfl/teams/seahawks" TargetMode="External"/><Relationship Id="rId14" Type="http://schemas.openxmlformats.org/officeDocument/2006/relationships/hyperlink" Target="https://www.scoresandodds.com/nfl/teams/texans" TargetMode="External"/><Relationship Id="rId22" Type="http://schemas.openxmlformats.org/officeDocument/2006/relationships/hyperlink" Target="https://www.scoresandodds.com/nfl/teams/vikings" TargetMode="External"/><Relationship Id="rId27" Type="http://schemas.openxmlformats.org/officeDocument/2006/relationships/hyperlink" Target="https://www.scoresandodds.com/nfl/teams/chiefs" TargetMode="External"/><Relationship Id="rId30" Type="http://schemas.openxmlformats.org/officeDocument/2006/relationships/hyperlink" Target="https://www.scoresandodds.com/nfl/teams/broncos" TargetMode="External"/><Relationship Id="rId35" Type="http://schemas.openxmlformats.org/officeDocument/2006/relationships/hyperlink" Target="https://www.scoresandodds.com/nfl/teams/dolphins" TargetMode="External"/><Relationship Id="rId8" Type="http://schemas.openxmlformats.org/officeDocument/2006/relationships/hyperlink" Target="https://www.scoresandodds.com/nfl/teams/buccaneers" TargetMode="External"/><Relationship Id="rId3" Type="http://schemas.openxmlformats.org/officeDocument/2006/relationships/hyperlink" Target="https://www.scoresandodds.com/nfl/more-lin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CA2F9-7BAA-4AFD-B560-62C088756AD8}">
  <dimension ref="A1:F104"/>
  <sheetViews>
    <sheetView tabSelected="1" workbookViewId="0">
      <selection activeCell="D9" sqref="D9:D10"/>
    </sheetView>
  </sheetViews>
  <sheetFormatPr baseColWidth="10" defaultRowHeight="15" x14ac:dyDescent="0.25"/>
  <cols>
    <col min="1" max="1" width="70.5703125" bestFit="1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3" spans="1:6" x14ac:dyDescent="0.25">
      <c r="A3" s="2" t="s">
        <v>2</v>
      </c>
    </row>
    <row r="4" spans="1:6" x14ac:dyDescent="0.25">
      <c r="A4" s="2" t="s">
        <v>3</v>
      </c>
    </row>
    <row r="5" spans="1:6" x14ac:dyDescent="0.25">
      <c r="A5" s="2" t="s">
        <v>4</v>
      </c>
    </row>
    <row r="6" spans="1:6" x14ac:dyDescent="0.25">
      <c r="A6" s="2" t="s">
        <v>5</v>
      </c>
    </row>
    <row r="7" spans="1:6" x14ac:dyDescent="0.25">
      <c r="A7" s="2" t="s">
        <v>6</v>
      </c>
    </row>
    <row r="8" spans="1:6" ht="15.75" thickBot="1" x14ac:dyDescent="0.3">
      <c r="A8" s="3" t="s">
        <v>820</v>
      </c>
      <c r="B8" s="4"/>
      <c r="C8" s="4" t="s">
        <v>8</v>
      </c>
      <c r="D8" s="4" t="s">
        <v>9</v>
      </c>
      <c r="E8" s="4" t="s">
        <v>10</v>
      </c>
      <c r="F8" s="4" t="s">
        <v>11</v>
      </c>
    </row>
    <row r="9" spans="1:6" x14ac:dyDescent="0.25">
      <c r="A9" s="5">
        <v>451</v>
      </c>
      <c r="B9" s="14">
        <v>20</v>
      </c>
      <c r="C9" s="32"/>
      <c r="D9" s="16">
        <f>8.5-110</f>
        <v>-101.5</v>
      </c>
      <c r="E9" s="18" t="s">
        <v>310</v>
      </c>
      <c r="F9" s="18">
        <v>320</v>
      </c>
    </row>
    <row r="10" spans="1:6" x14ac:dyDescent="0.25">
      <c r="A10" s="6" t="s">
        <v>655</v>
      </c>
      <c r="B10" s="13"/>
      <c r="C10" s="31"/>
      <c r="D10" s="15"/>
      <c r="E10" s="17"/>
      <c r="F10" s="17"/>
    </row>
    <row r="11" spans="1:6" x14ac:dyDescent="0.25">
      <c r="A11" s="9">
        <v>452</v>
      </c>
      <c r="B11" s="19">
        <v>24</v>
      </c>
      <c r="C11" s="33"/>
      <c r="D11" s="20">
        <f>-8.5-110</f>
        <v>-118.5</v>
      </c>
      <c r="E11" s="21" t="s">
        <v>373</v>
      </c>
      <c r="F11" s="21">
        <v>-425</v>
      </c>
    </row>
    <row r="12" spans="1:6" x14ac:dyDescent="0.25">
      <c r="A12" s="10" t="s">
        <v>636</v>
      </c>
      <c r="B12" s="19"/>
      <c r="C12" s="33"/>
      <c r="D12" s="20"/>
      <c r="E12" s="21"/>
      <c r="F12" s="21"/>
    </row>
    <row r="13" spans="1:6" ht="37.5" x14ac:dyDescent="0.25">
      <c r="A13" s="22" t="s">
        <v>17</v>
      </c>
    </row>
    <row r="14" spans="1:6" x14ac:dyDescent="0.25">
      <c r="A14" s="23" t="s">
        <v>102</v>
      </c>
    </row>
    <row r="15" spans="1:6" ht="15.75" thickBot="1" x14ac:dyDescent="0.3">
      <c r="A15" s="3" t="s">
        <v>821</v>
      </c>
      <c r="B15" s="4"/>
      <c r="C15" s="4" t="s">
        <v>8</v>
      </c>
      <c r="D15" s="4" t="s">
        <v>9</v>
      </c>
      <c r="E15" s="4" t="s">
        <v>10</v>
      </c>
      <c r="F15" s="4" t="s">
        <v>11</v>
      </c>
    </row>
    <row r="16" spans="1:6" x14ac:dyDescent="0.25">
      <c r="A16" s="5">
        <v>453</v>
      </c>
      <c r="B16" s="14">
        <v>21</v>
      </c>
      <c r="C16" s="32"/>
      <c r="D16" s="18">
        <f>-3-118</f>
        <v>-121</v>
      </c>
      <c r="E16" s="16" t="s">
        <v>310</v>
      </c>
      <c r="F16" s="18">
        <v>-175</v>
      </c>
    </row>
    <row r="17" spans="1:6" x14ac:dyDescent="0.25">
      <c r="A17" s="6" t="s">
        <v>645</v>
      </c>
      <c r="B17" s="13"/>
      <c r="C17" s="31"/>
      <c r="D17" s="17"/>
      <c r="E17" s="15"/>
      <c r="F17" s="17"/>
    </row>
    <row r="18" spans="1:6" x14ac:dyDescent="0.25">
      <c r="A18" s="9">
        <v>454</v>
      </c>
      <c r="B18" s="19">
        <v>27</v>
      </c>
      <c r="C18" s="33"/>
      <c r="D18" s="21">
        <f>3-102</f>
        <v>-99</v>
      </c>
      <c r="E18" s="20" t="s">
        <v>373</v>
      </c>
      <c r="F18" s="21">
        <v>145</v>
      </c>
    </row>
    <row r="19" spans="1:6" x14ac:dyDescent="0.25">
      <c r="A19" s="10" t="s">
        <v>585</v>
      </c>
      <c r="B19" s="19"/>
      <c r="C19" s="33"/>
      <c r="D19" s="21"/>
      <c r="E19" s="20"/>
      <c r="F19" s="21"/>
    </row>
    <row r="20" spans="1:6" ht="37.5" x14ac:dyDescent="0.25">
      <c r="A20" s="22" t="s">
        <v>17</v>
      </c>
    </row>
    <row r="21" spans="1:6" ht="15.75" thickBot="1" x14ac:dyDescent="0.3">
      <c r="A21" s="3" t="s">
        <v>822</v>
      </c>
      <c r="B21" s="4"/>
      <c r="C21" s="4" t="s">
        <v>8</v>
      </c>
      <c r="D21" s="4" t="s">
        <v>9</v>
      </c>
      <c r="E21" s="4" t="s">
        <v>10</v>
      </c>
      <c r="F21" s="4" t="s">
        <v>11</v>
      </c>
    </row>
    <row r="22" spans="1:6" x14ac:dyDescent="0.25">
      <c r="A22" s="5">
        <v>461</v>
      </c>
      <c r="B22" s="14">
        <v>6</v>
      </c>
      <c r="C22" s="32"/>
      <c r="D22" s="18">
        <f>6-115</f>
        <v>-109</v>
      </c>
      <c r="E22" s="18" t="s">
        <v>258</v>
      </c>
      <c r="F22" s="18">
        <v>230</v>
      </c>
    </row>
    <row r="23" spans="1:6" x14ac:dyDescent="0.25">
      <c r="A23" s="6" t="s">
        <v>648</v>
      </c>
      <c r="B23" s="13"/>
      <c r="C23" s="31"/>
      <c r="D23" s="17"/>
      <c r="E23" s="17"/>
      <c r="F23" s="17"/>
    </row>
    <row r="24" spans="1:6" x14ac:dyDescent="0.25">
      <c r="A24" s="9">
        <v>462</v>
      </c>
      <c r="B24" s="19">
        <v>21</v>
      </c>
      <c r="C24" s="33"/>
      <c r="D24" s="21">
        <f>-6-105</f>
        <v>-111</v>
      </c>
      <c r="E24" s="21" t="s">
        <v>539</v>
      </c>
      <c r="F24" s="21">
        <v>-285</v>
      </c>
    </row>
    <row r="25" spans="1:6" x14ac:dyDescent="0.25">
      <c r="A25" s="10" t="s">
        <v>653</v>
      </c>
      <c r="B25" s="19"/>
      <c r="C25" s="33"/>
      <c r="D25" s="21"/>
      <c r="E25" s="21"/>
      <c r="F25" s="21"/>
    </row>
    <row r="26" spans="1:6" ht="37.5" x14ac:dyDescent="0.25">
      <c r="A26" s="22" t="s">
        <v>17</v>
      </c>
    </row>
    <row r="27" spans="1:6" ht="15.75" thickBot="1" x14ac:dyDescent="0.3">
      <c r="A27" s="3" t="s">
        <v>822</v>
      </c>
      <c r="B27" s="4"/>
      <c r="C27" s="4" t="s">
        <v>8</v>
      </c>
      <c r="D27" s="4" t="s">
        <v>9</v>
      </c>
      <c r="E27" s="4" t="s">
        <v>10</v>
      </c>
      <c r="F27" s="4" t="s">
        <v>11</v>
      </c>
    </row>
    <row r="28" spans="1:6" x14ac:dyDescent="0.25">
      <c r="A28" s="5">
        <v>459</v>
      </c>
      <c r="B28" s="14">
        <v>10</v>
      </c>
      <c r="C28" s="32"/>
      <c r="D28" s="18">
        <f>4.5-120</f>
        <v>-115.5</v>
      </c>
      <c r="E28" s="18" t="s">
        <v>702</v>
      </c>
      <c r="F28" s="18">
        <v>165</v>
      </c>
    </row>
    <row r="29" spans="1:6" x14ac:dyDescent="0.25">
      <c r="A29" s="6" t="s">
        <v>632</v>
      </c>
      <c r="B29" s="13"/>
      <c r="C29" s="31"/>
      <c r="D29" s="17"/>
      <c r="E29" s="17"/>
      <c r="F29" s="17"/>
    </row>
    <row r="30" spans="1:6" x14ac:dyDescent="0.25">
      <c r="A30" s="9">
        <v>460</v>
      </c>
      <c r="B30" s="19">
        <v>26</v>
      </c>
      <c r="C30" s="33"/>
      <c r="D30" s="21">
        <f>-4.5-110</f>
        <v>-114.5</v>
      </c>
      <c r="E30" s="21" t="s">
        <v>53</v>
      </c>
      <c r="F30" s="21">
        <v>-218</v>
      </c>
    </row>
    <row r="31" spans="1:6" x14ac:dyDescent="0.25">
      <c r="A31" s="10" t="s">
        <v>628</v>
      </c>
      <c r="B31" s="19"/>
      <c r="C31" s="33"/>
      <c r="D31" s="21"/>
      <c r="E31" s="21"/>
      <c r="F31" s="21"/>
    </row>
    <row r="32" spans="1:6" ht="37.5" x14ac:dyDescent="0.25">
      <c r="A32" s="22" t="s">
        <v>17</v>
      </c>
    </row>
    <row r="33" spans="1:6" ht="15.75" thickBot="1" x14ac:dyDescent="0.3">
      <c r="A33" s="3" t="s">
        <v>822</v>
      </c>
      <c r="B33" s="4"/>
      <c r="C33" s="4" t="s">
        <v>8</v>
      </c>
      <c r="D33" s="4" t="s">
        <v>9</v>
      </c>
      <c r="E33" s="4" t="s">
        <v>10</v>
      </c>
      <c r="F33" s="4" t="s">
        <v>11</v>
      </c>
    </row>
    <row r="34" spans="1:6" x14ac:dyDescent="0.25">
      <c r="A34" s="5">
        <v>457</v>
      </c>
      <c r="B34" s="14">
        <v>8</v>
      </c>
      <c r="C34" s="32"/>
      <c r="D34" s="18">
        <f>1.5-118</f>
        <v>-116.5</v>
      </c>
      <c r="E34" s="18" t="s">
        <v>823</v>
      </c>
      <c r="F34" s="18">
        <v>-108</v>
      </c>
    </row>
    <row r="35" spans="1:6" x14ac:dyDescent="0.25">
      <c r="A35" s="6" t="s">
        <v>639</v>
      </c>
      <c r="B35" s="13"/>
      <c r="C35" s="31"/>
      <c r="D35" s="17"/>
      <c r="E35" s="17"/>
      <c r="F35" s="17"/>
    </row>
    <row r="36" spans="1:6" x14ac:dyDescent="0.25">
      <c r="A36" s="9">
        <v>458</v>
      </c>
      <c r="B36" s="19">
        <v>33</v>
      </c>
      <c r="C36" s="33"/>
      <c r="D36" s="21">
        <f>-1.5-102</f>
        <v>-103.5</v>
      </c>
      <c r="E36" s="21" t="s">
        <v>824</v>
      </c>
      <c r="F36" s="21">
        <v>-112</v>
      </c>
    </row>
    <row r="37" spans="1:6" x14ac:dyDescent="0.25">
      <c r="A37" s="10" t="s">
        <v>650</v>
      </c>
      <c r="B37" s="19"/>
      <c r="C37" s="33"/>
      <c r="D37" s="21"/>
      <c r="E37" s="21"/>
      <c r="F37" s="21"/>
    </row>
    <row r="38" spans="1:6" ht="37.5" x14ac:dyDescent="0.25">
      <c r="A38" s="22" t="s">
        <v>17</v>
      </c>
    </row>
    <row r="39" spans="1:6" ht="15.75" thickBot="1" x14ac:dyDescent="0.3">
      <c r="A39" s="3" t="s">
        <v>822</v>
      </c>
      <c r="B39" s="4"/>
      <c r="C39" s="4" t="s">
        <v>8</v>
      </c>
      <c r="D39" s="4" t="s">
        <v>9</v>
      </c>
      <c r="E39" s="4" t="s">
        <v>10</v>
      </c>
      <c r="F39" s="4" t="s">
        <v>11</v>
      </c>
    </row>
    <row r="40" spans="1:6" x14ac:dyDescent="0.25">
      <c r="A40" s="5">
        <v>469</v>
      </c>
      <c r="B40" s="25">
        <v>23</v>
      </c>
      <c r="C40" s="32"/>
      <c r="D40" s="16">
        <f>-1.5-115</f>
        <v>-116.5</v>
      </c>
      <c r="E40" s="18" t="s">
        <v>30</v>
      </c>
      <c r="F40" s="16">
        <v>-130</v>
      </c>
    </row>
    <row r="41" spans="1:6" x14ac:dyDescent="0.25">
      <c r="A41" s="6" t="s">
        <v>663</v>
      </c>
      <c r="B41" s="24"/>
      <c r="C41" s="31"/>
      <c r="D41" s="15"/>
      <c r="E41" s="17"/>
      <c r="F41" s="15"/>
    </row>
    <row r="42" spans="1:6" x14ac:dyDescent="0.25">
      <c r="A42" s="9">
        <v>470</v>
      </c>
      <c r="B42" s="26">
        <v>20</v>
      </c>
      <c r="C42" s="33"/>
      <c r="D42" s="20">
        <f>1.5-115</f>
        <v>-113.5</v>
      </c>
      <c r="E42" s="21" t="s">
        <v>259</v>
      </c>
      <c r="F42" s="20" t="s">
        <v>193</v>
      </c>
    </row>
    <row r="43" spans="1:6" x14ac:dyDescent="0.25">
      <c r="A43" s="10" t="s">
        <v>660</v>
      </c>
      <c r="B43" s="26"/>
      <c r="C43" s="33"/>
      <c r="D43" s="20"/>
      <c r="E43" s="21"/>
      <c r="F43" s="20"/>
    </row>
    <row r="44" spans="1:6" ht="37.5" x14ac:dyDescent="0.25">
      <c r="A44" s="22" t="s">
        <v>17</v>
      </c>
    </row>
    <row r="45" spans="1:6" ht="15.75" thickBot="1" x14ac:dyDescent="0.3">
      <c r="A45" s="3" t="s">
        <v>822</v>
      </c>
      <c r="B45" s="4"/>
      <c r="C45" s="4" t="s">
        <v>8</v>
      </c>
      <c r="D45" s="4" t="s">
        <v>9</v>
      </c>
      <c r="E45" s="4" t="s">
        <v>10</v>
      </c>
      <c r="F45" s="4" t="s">
        <v>11</v>
      </c>
    </row>
    <row r="46" spans="1:6" x14ac:dyDescent="0.25">
      <c r="A46" s="5">
        <v>467</v>
      </c>
      <c r="B46" s="25">
        <v>20</v>
      </c>
      <c r="C46" s="32"/>
      <c r="D46" s="16">
        <f>-3.5-120</f>
        <v>-123.5</v>
      </c>
      <c r="E46" s="18" t="s">
        <v>159</v>
      </c>
      <c r="F46" s="16">
        <v>-200</v>
      </c>
    </row>
    <row r="47" spans="1:6" x14ac:dyDescent="0.25">
      <c r="A47" s="6" t="s">
        <v>658</v>
      </c>
      <c r="B47" s="24"/>
      <c r="C47" s="31"/>
      <c r="D47" s="15"/>
      <c r="E47" s="17"/>
      <c r="F47" s="15"/>
    </row>
    <row r="48" spans="1:6" x14ac:dyDescent="0.25">
      <c r="A48" s="9">
        <v>468</v>
      </c>
      <c r="B48" s="26">
        <v>13</v>
      </c>
      <c r="C48" s="33"/>
      <c r="D48" s="20">
        <f>3.5-110</f>
        <v>-106.5</v>
      </c>
      <c r="E48" s="21" t="s">
        <v>646</v>
      </c>
      <c r="F48" s="20">
        <v>154</v>
      </c>
    </row>
    <row r="49" spans="1:6" x14ac:dyDescent="0.25">
      <c r="A49" s="10" t="s">
        <v>630</v>
      </c>
      <c r="B49" s="26"/>
      <c r="C49" s="33"/>
      <c r="D49" s="20"/>
      <c r="E49" s="21"/>
      <c r="F49" s="20"/>
    </row>
    <row r="50" spans="1:6" ht="37.5" x14ac:dyDescent="0.25">
      <c r="A50" s="22" t="s">
        <v>17</v>
      </c>
    </row>
    <row r="51" spans="1:6" ht="15.75" thickBot="1" x14ac:dyDescent="0.3">
      <c r="A51" s="3" t="s">
        <v>822</v>
      </c>
      <c r="B51" s="4"/>
      <c r="C51" s="4" t="s">
        <v>8</v>
      </c>
      <c r="D51" s="4" t="s">
        <v>9</v>
      </c>
      <c r="E51" s="4" t="s">
        <v>10</v>
      </c>
      <c r="F51" s="4" t="s">
        <v>11</v>
      </c>
    </row>
    <row r="52" spans="1:6" x14ac:dyDescent="0.25">
      <c r="A52" s="5">
        <v>455</v>
      </c>
      <c r="B52" s="25">
        <v>34</v>
      </c>
      <c r="C52" s="32"/>
      <c r="D52" s="18">
        <f>-3-108</f>
        <v>-111</v>
      </c>
      <c r="E52" s="16" t="s">
        <v>115</v>
      </c>
      <c r="F52" s="16">
        <v>-155</v>
      </c>
    </row>
    <row r="53" spans="1:6" x14ac:dyDescent="0.25">
      <c r="A53" s="6" t="s">
        <v>622</v>
      </c>
      <c r="B53" s="24"/>
      <c r="C53" s="31"/>
      <c r="D53" s="17"/>
      <c r="E53" s="15"/>
      <c r="F53" s="15"/>
    </row>
    <row r="54" spans="1:6" x14ac:dyDescent="0.25">
      <c r="A54" s="9">
        <v>456</v>
      </c>
      <c r="B54" s="26">
        <v>32</v>
      </c>
      <c r="C54" s="33"/>
      <c r="D54" s="21">
        <f>3-112</f>
        <v>-109</v>
      </c>
      <c r="E54" s="20" t="s">
        <v>75</v>
      </c>
      <c r="F54" s="20">
        <v>130</v>
      </c>
    </row>
    <row r="55" spans="1:6" x14ac:dyDescent="0.25">
      <c r="A55" s="10" t="s">
        <v>634</v>
      </c>
      <c r="B55" s="26"/>
      <c r="C55" s="33"/>
      <c r="D55" s="21"/>
      <c r="E55" s="20"/>
      <c r="F55" s="20"/>
    </row>
    <row r="56" spans="1:6" ht="37.5" x14ac:dyDescent="0.25">
      <c r="A56" s="22" t="s">
        <v>17</v>
      </c>
    </row>
    <row r="57" spans="1:6" ht="15.75" thickBot="1" x14ac:dyDescent="0.3">
      <c r="A57" s="3" t="s">
        <v>822</v>
      </c>
      <c r="B57" s="4"/>
      <c r="C57" s="4" t="s">
        <v>8</v>
      </c>
      <c r="D57" s="4" t="s">
        <v>9</v>
      </c>
      <c r="E57" s="4" t="s">
        <v>10</v>
      </c>
      <c r="F57" s="4" t="s">
        <v>11</v>
      </c>
    </row>
    <row r="58" spans="1:6" x14ac:dyDescent="0.25">
      <c r="A58" s="5">
        <v>465</v>
      </c>
      <c r="B58" s="25">
        <v>20</v>
      </c>
      <c r="C58" s="32"/>
      <c r="D58" s="16">
        <f>2.5-110</f>
        <v>-107.5</v>
      </c>
      <c r="E58" s="18" t="s">
        <v>167</v>
      </c>
      <c r="F58" s="16">
        <v>120</v>
      </c>
    </row>
    <row r="59" spans="1:6" x14ac:dyDescent="0.25">
      <c r="A59" s="6" t="s">
        <v>643</v>
      </c>
      <c r="B59" s="24"/>
      <c r="C59" s="31"/>
      <c r="D59" s="15"/>
      <c r="E59" s="17"/>
      <c r="F59" s="15"/>
    </row>
    <row r="60" spans="1:6" x14ac:dyDescent="0.25">
      <c r="A60" s="9">
        <v>466</v>
      </c>
      <c r="B60" s="26">
        <v>13</v>
      </c>
      <c r="C60" s="33"/>
      <c r="D60" s="20">
        <f>-2.5-120</f>
        <v>-122.5</v>
      </c>
      <c r="E60" s="21" t="s">
        <v>195</v>
      </c>
      <c r="F60" s="20">
        <v>-154</v>
      </c>
    </row>
    <row r="61" spans="1:6" x14ac:dyDescent="0.25">
      <c r="A61" s="10" t="s">
        <v>641</v>
      </c>
      <c r="B61" s="26"/>
      <c r="C61" s="33"/>
      <c r="D61" s="20"/>
      <c r="E61" s="21"/>
      <c r="F61" s="20"/>
    </row>
    <row r="62" spans="1:6" ht="37.5" x14ac:dyDescent="0.25">
      <c r="A62" s="22" t="s">
        <v>17</v>
      </c>
    </row>
    <row r="63" spans="1:6" ht="15.75" thickBot="1" x14ac:dyDescent="0.3">
      <c r="A63" s="3" t="s">
        <v>822</v>
      </c>
      <c r="B63" s="4"/>
      <c r="C63" s="4" t="s">
        <v>8</v>
      </c>
      <c r="D63" s="4" t="s">
        <v>9</v>
      </c>
      <c r="E63" s="4" t="s">
        <v>10</v>
      </c>
      <c r="F63" s="4" t="s">
        <v>11</v>
      </c>
    </row>
    <row r="64" spans="1:6" x14ac:dyDescent="0.25">
      <c r="A64" s="5">
        <v>463</v>
      </c>
      <c r="B64" s="25">
        <v>17</v>
      </c>
      <c r="C64" s="32"/>
      <c r="D64" s="18">
        <f>-5.5-105</f>
        <v>-110.5</v>
      </c>
      <c r="E64" s="18" t="s">
        <v>371</v>
      </c>
      <c r="F64" s="16">
        <v>-238</v>
      </c>
    </row>
    <row r="65" spans="1:6" x14ac:dyDescent="0.25">
      <c r="A65" s="6" t="s">
        <v>624</v>
      </c>
      <c r="B65" s="24"/>
      <c r="C65" s="31"/>
      <c r="D65" s="17"/>
      <c r="E65" s="17"/>
      <c r="F65" s="15"/>
    </row>
    <row r="66" spans="1:6" x14ac:dyDescent="0.25">
      <c r="A66" s="9">
        <v>464</v>
      </c>
      <c r="B66" s="26">
        <v>16</v>
      </c>
      <c r="C66" s="33"/>
      <c r="D66" s="21">
        <f>5.5-115</f>
        <v>-109.5</v>
      </c>
      <c r="E66" s="21" t="s">
        <v>472</v>
      </c>
      <c r="F66" s="20">
        <v>195</v>
      </c>
    </row>
    <row r="67" spans="1:6" x14ac:dyDescent="0.25">
      <c r="A67" s="10" t="s">
        <v>640</v>
      </c>
      <c r="B67" s="26"/>
      <c r="C67" s="33"/>
      <c r="D67" s="21"/>
      <c r="E67" s="21"/>
      <c r="F67" s="20"/>
    </row>
    <row r="68" spans="1:6" ht="37.5" x14ac:dyDescent="0.25">
      <c r="A68" s="22" t="s">
        <v>17</v>
      </c>
    </row>
    <row r="69" spans="1:6" ht="15.75" thickBot="1" x14ac:dyDescent="0.3">
      <c r="A69" s="3" t="s">
        <v>825</v>
      </c>
      <c r="B69" s="4"/>
      <c r="C69" s="4" t="s">
        <v>8</v>
      </c>
      <c r="D69" s="4" t="s">
        <v>9</v>
      </c>
      <c r="E69" s="4" t="s">
        <v>10</v>
      </c>
      <c r="F69" s="4" t="s">
        <v>11</v>
      </c>
    </row>
    <row r="70" spans="1:6" x14ac:dyDescent="0.25">
      <c r="A70" s="5">
        <v>473</v>
      </c>
      <c r="B70" s="25">
        <v>17</v>
      </c>
      <c r="C70" s="32"/>
      <c r="D70" s="16">
        <f>-2.5-112</f>
        <v>-114.5</v>
      </c>
      <c r="E70" s="18" t="s">
        <v>40</v>
      </c>
      <c r="F70" s="16">
        <v>-142</v>
      </c>
    </row>
    <row r="71" spans="1:6" x14ac:dyDescent="0.25">
      <c r="A71" s="6" t="s">
        <v>661</v>
      </c>
      <c r="B71" s="24"/>
      <c r="C71" s="31"/>
      <c r="D71" s="15"/>
      <c r="E71" s="17"/>
      <c r="F71" s="15"/>
    </row>
    <row r="72" spans="1:6" x14ac:dyDescent="0.25">
      <c r="A72" s="9">
        <v>474</v>
      </c>
      <c r="B72" s="26">
        <v>13</v>
      </c>
      <c r="C72" s="33"/>
      <c r="D72" s="20">
        <f>2.5-108</f>
        <v>-105.5</v>
      </c>
      <c r="E72" s="21" t="s">
        <v>566</v>
      </c>
      <c r="F72" s="20">
        <v>120</v>
      </c>
    </row>
    <row r="73" spans="1:6" x14ac:dyDescent="0.25">
      <c r="A73" s="10" t="s">
        <v>670</v>
      </c>
      <c r="B73" s="26"/>
      <c r="C73" s="33"/>
      <c r="D73" s="20"/>
      <c r="E73" s="21"/>
      <c r="F73" s="20"/>
    </row>
    <row r="74" spans="1:6" ht="37.5" x14ac:dyDescent="0.25">
      <c r="A74" s="22" t="s">
        <v>17</v>
      </c>
    </row>
    <row r="75" spans="1:6" ht="15.75" thickBot="1" x14ac:dyDescent="0.3">
      <c r="A75" s="3" t="s">
        <v>825</v>
      </c>
      <c r="B75" s="4"/>
      <c r="C75" s="4" t="s">
        <v>8</v>
      </c>
      <c r="D75" s="4" t="s">
        <v>9</v>
      </c>
      <c r="E75" s="4" t="s">
        <v>10</v>
      </c>
      <c r="F75" s="4" t="s">
        <v>11</v>
      </c>
    </row>
    <row r="76" spans="1:6" x14ac:dyDescent="0.25">
      <c r="A76" s="5">
        <v>471</v>
      </c>
      <c r="B76" s="14">
        <v>12</v>
      </c>
      <c r="C76" s="32"/>
      <c r="D76" s="16">
        <f>8.5-105</f>
        <v>-96.5</v>
      </c>
      <c r="E76" s="18" t="s">
        <v>301</v>
      </c>
      <c r="F76" s="18">
        <v>350</v>
      </c>
    </row>
    <row r="77" spans="1:6" x14ac:dyDescent="0.25">
      <c r="A77" s="6" t="s">
        <v>642</v>
      </c>
      <c r="B77" s="13"/>
      <c r="C77" s="31"/>
      <c r="D77" s="15"/>
      <c r="E77" s="17"/>
      <c r="F77" s="17"/>
    </row>
    <row r="78" spans="1:6" x14ac:dyDescent="0.25">
      <c r="A78" s="9">
        <v>472</v>
      </c>
      <c r="B78" s="19">
        <v>20</v>
      </c>
      <c r="C78" s="33"/>
      <c r="D78" s="20">
        <f>-8.5-115</f>
        <v>-123.5</v>
      </c>
      <c r="E78" s="21" t="s">
        <v>155</v>
      </c>
      <c r="F78" s="21">
        <v>-455</v>
      </c>
    </row>
    <row r="79" spans="1:6" x14ac:dyDescent="0.25">
      <c r="A79" s="10" t="s">
        <v>649</v>
      </c>
      <c r="B79" s="19"/>
      <c r="C79" s="33"/>
      <c r="D79" s="20"/>
      <c r="E79" s="21"/>
      <c r="F79" s="21"/>
    </row>
    <row r="80" spans="1:6" ht="37.5" x14ac:dyDescent="0.25">
      <c r="A80" s="22" t="s">
        <v>17</v>
      </c>
    </row>
    <row r="81" spans="1:6" ht="15.75" thickBot="1" x14ac:dyDescent="0.3">
      <c r="A81" s="3" t="s">
        <v>826</v>
      </c>
      <c r="B81" s="4"/>
      <c r="C81" s="4" t="s">
        <v>8</v>
      </c>
      <c r="D81" s="4" t="s">
        <v>9</v>
      </c>
      <c r="E81" s="4" t="s">
        <v>10</v>
      </c>
      <c r="F81" s="4" t="s">
        <v>11</v>
      </c>
    </row>
    <row r="82" spans="1:6" x14ac:dyDescent="0.25">
      <c r="A82" s="5">
        <v>475</v>
      </c>
      <c r="B82" s="14">
        <v>13</v>
      </c>
      <c r="C82" s="32"/>
      <c r="D82" s="18">
        <f>1.5-115</f>
        <v>-113.5</v>
      </c>
      <c r="E82" s="18" t="s">
        <v>21</v>
      </c>
      <c r="F82" s="18">
        <v>-105</v>
      </c>
    </row>
    <row r="83" spans="1:6" x14ac:dyDescent="0.25">
      <c r="A83" s="6" t="s">
        <v>665</v>
      </c>
      <c r="B83" s="13"/>
      <c r="C83" s="31"/>
      <c r="D83" s="17"/>
      <c r="E83" s="17"/>
      <c r="F83" s="17"/>
    </row>
    <row r="84" spans="1:6" x14ac:dyDescent="0.25">
      <c r="A84" s="9">
        <v>476</v>
      </c>
      <c r="B84" s="19">
        <v>27</v>
      </c>
      <c r="C84" s="33"/>
      <c r="D84" s="21">
        <f>-1.5-105</f>
        <v>-106.5</v>
      </c>
      <c r="E84" s="21" t="s">
        <v>23</v>
      </c>
      <c r="F84" s="21">
        <v>-115</v>
      </c>
    </row>
    <row r="85" spans="1:6" x14ac:dyDescent="0.25">
      <c r="A85" s="10" t="s">
        <v>657</v>
      </c>
      <c r="B85" s="19"/>
      <c r="C85" s="33"/>
      <c r="D85" s="21"/>
      <c r="E85" s="21"/>
      <c r="F85" s="21"/>
    </row>
    <row r="86" spans="1:6" ht="37.5" x14ac:dyDescent="0.25">
      <c r="A86" s="22" t="s">
        <v>17</v>
      </c>
    </row>
    <row r="87" spans="1:6" ht="15.75" thickBot="1" x14ac:dyDescent="0.3">
      <c r="A87" s="3" t="s">
        <v>826</v>
      </c>
      <c r="B87" s="4"/>
      <c r="C87" s="4" t="s">
        <v>8</v>
      </c>
      <c r="D87" s="4" t="s">
        <v>9</v>
      </c>
      <c r="E87" s="4" t="s">
        <v>10</v>
      </c>
      <c r="F87" s="4" t="s">
        <v>11</v>
      </c>
    </row>
    <row r="88" spans="1:6" x14ac:dyDescent="0.25">
      <c r="A88" s="5">
        <v>477</v>
      </c>
      <c r="B88" s="14">
        <v>9</v>
      </c>
      <c r="C88" s="32"/>
      <c r="D88" s="18">
        <f>3.5-118</f>
        <v>-114.5</v>
      </c>
      <c r="E88" s="18" t="s">
        <v>387</v>
      </c>
      <c r="F88" s="18">
        <v>145</v>
      </c>
    </row>
    <row r="89" spans="1:6" x14ac:dyDescent="0.25">
      <c r="A89" s="6" t="s">
        <v>669</v>
      </c>
      <c r="B89" s="13"/>
      <c r="C89" s="31"/>
      <c r="D89" s="17"/>
      <c r="E89" s="17"/>
      <c r="F89" s="17"/>
    </row>
    <row r="90" spans="1:6" x14ac:dyDescent="0.25">
      <c r="A90" s="9">
        <v>478</v>
      </c>
      <c r="B90" s="19">
        <v>14</v>
      </c>
      <c r="C90" s="33"/>
      <c r="D90" s="21">
        <f>-3.5-102</f>
        <v>-105.5</v>
      </c>
      <c r="E90" s="21" t="s">
        <v>315</v>
      </c>
      <c r="F90" s="21">
        <v>-175</v>
      </c>
    </row>
    <row r="91" spans="1:6" x14ac:dyDescent="0.25">
      <c r="A91" s="10" t="s">
        <v>627</v>
      </c>
      <c r="B91" s="19"/>
      <c r="C91" s="33"/>
      <c r="D91" s="21"/>
      <c r="E91" s="21"/>
      <c r="F91" s="21"/>
    </row>
    <row r="92" spans="1:6" ht="37.5" x14ac:dyDescent="0.25">
      <c r="A92" s="22" t="s">
        <v>17</v>
      </c>
    </row>
    <row r="93" spans="1:6" ht="15.75" thickBot="1" x14ac:dyDescent="0.3">
      <c r="A93" s="3" t="s">
        <v>827</v>
      </c>
      <c r="B93" s="4"/>
      <c r="C93" s="4" t="s">
        <v>8</v>
      </c>
      <c r="D93" s="4" t="s">
        <v>9</v>
      </c>
      <c r="E93" s="4" t="s">
        <v>10</v>
      </c>
      <c r="F93" s="4" t="s">
        <v>11</v>
      </c>
    </row>
    <row r="94" spans="1:6" x14ac:dyDescent="0.25">
      <c r="A94" s="5">
        <v>479</v>
      </c>
      <c r="B94" s="14">
        <v>40</v>
      </c>
      <c r="C94" s="32"/>
      <c r="D94" s="18">
        <f>-1.5-105</f>
        <v>-106.5</v>
      </c>
      <c r="E94" s="16" t="s">
        <v>828</v>
      </c>
      <c r="F94" s="18">
        <v>-125</v>
      </c>
    </row>
    <row r="95" spans="1:6" x14ac:dyDescent="0.25">
      <c r="A95" s="6" t="s">
        <v>687</v>
      </c>
      <c r="B95" s="13"/>
      <c r="C95" s="31"/>
      <c r="D95" s="17"/>
      <c r="E95" s="15"/>
      <c r="F95" s="17"/>
    </row>
    <row r="96" spans="1:6" x14ac:dyDescent="0.25">
      <c r="A96" s="9">
        <v>480</v>
      </c>
      <c r="B96" s="19">
        <v>41</v>
      </c>
      <c r="C96" s="33"/>
      <c r="D96" s="21">
        <f>1.5-115</f>
        <v>-113.5</v>
      </c>
      <c r="E96" s="20" t="s">
        <v>829</v>
      </c>
      <c r="F96" s="21">
        <v>105</v>
      </c>
    </row>
    <row r="97" spans="1:6" x14ac:dyDescent="0.25">
      <c r="A97" s="10" t="s">
        <v>711</v>
      </c>
      <c r="B97" s="19"/>
      <c r="C97" s="33"/>
      <c r="D97" s="21"/>
      <c r="E97" s="20"/>
      <c r="F97" s="21"/>
    </row>
    <row r="98" spans="1:6" ht="38.25" thickBot="1" x14ac:dyDescent="0.3">
      <c r="A98" s="22" t="s">
        <v>17</v>
      </c>
    </row>
    <row r="99" spans="1:6" ht="56.25" x14ac:dyDescent="0.25">
      <c r="A99" s="27" t="s">
        <v>174</v>
      </c>
    </row>
    <row r="100" spans="1:6" ht="15.75" thickBot="1" x14ac:dyDescent="0.3">
      <c r="A100" s="3" t="s">
        <v>830</v>
      </c>
      <c r="B100" s="4"/>
      <c r="C100" s="4" t="s">
        <v>8</v>
      </c>
      <c r="D100" s="4" t="s">
        <v>9</v>
      </c>
      <c r="E100" s="4" t="s">
        <v>10</v>
      </c>
      <c r="F100" s="4" t="s">
        <v>11</v>
      </c>
    </row>
    <row r="101" spans="1:6" x14ac:dyDescent="0.25">
      <c r="A101" s="5">
        <v>481</v>
      </c>
      <c r="B101" s="25">
        <v>27</v>
      </c>
      <c r="C101" s="32"/>
      <c r="D101" s="16">
        <f>-1.5-102</f>
        <v>-103.5</v>
      </c>
      <c r="E101" s="16" t="s">
        <v>39</v>
      </c>
      <c r="F101" s="16">
        <v>-112</v>
      </c>
    </row>
    <row r="102" spans="1:6" x14ac:dyDescent="0.25">
      <c r="A102" s="6" t="s">
        <v>584</v>
      </c>
      <c r="B102" s="24"/>
      <c r="C102" s="31"/>
      <c r="D102" s="15"/>
      <c r="E102" s="15"/>
      <c r="F102" s="15"/>
    </row>
    <row r="103" spans="1:6" x14ac:dyDescent="0.25">
      <c r="A103" s="9">
        <v>482</v>
      </c>
      <c r="B103" s="26">
        <v>24</v>
      </c>
      <c r="C103" s="33"/>
      <c r="D103" s="20">
        <f>1.5-118</f>
        <v>-116.5</v>
      </c>
      <c r="E103" s="20" t="s">
        <v>425</v>
      </c>
      <c r="F103" s="20">
        <v>-108</v>
      </c>
    </row>
    <row r="104" spans="1:6" x14ac:dyDescent="0.25">
      <c r="A104" s="10" t="s">
        <v>631</v>
      </c>
      <c r="B104" s="26"/>
      <c r="C104" s="33"/>
      <c r="D104" s="20"/>
      <c r="E104" s="20"/>
      <c r="F104" s="20"/>
    </row>
  </sheetData>
  <mergeCells count="160">
    <mergeCell ref="B101:B102"/>
    <mergeCell ref="C101:C102"/>
    <mergeCell ref="D101:D102"/>
    <mergeCell ref="E101:E102"/>
    <mergeCell ref="F101:F102"/>
    <mergeCell ref="B103:B104"/>
    <mergeCell ref="C103:C104"/>
    <mergeCell ref="D103:D104"/>
    <mergeCell ref="E103:E104"/>
    <mergeCell ref="F103:F104"/>
    <mergeCell ref="B94:B95"/>
    <mergeCell ref="C94:C95"/>
    <mergeCell ref="D94:D95"/>
    <mergeCell ref="E94:E95"/>
    <mergeCell ref="F94:F95"/>
    <mergeCell ref="B96:B97"/>
    <mergeCell ref="C96:C97"/>
    <mergeCell ref="D96:D97"/>
    <mergeCell ref="E96:E97"/>
    <mergeCell ref="F96:F97"/>
    <mergeCell ref="B88:B89"/>
    <mergeCell ref="C88:C89"/>
    <mergeCell ref="D88:D89"/>
    <mergeCell ref="E88:E89"/>
    <mergeCell ref="F88:F89"/>
    <mergeCell ref="B90:B91"/>
    <mergeCell ref="C90:C91"/>
    <mergeCell ref="D90:D91"/>
    <mergeCell ref="E90:E91"/>
    <mergeCell ref="F90:F91"/>
    <mergeCell ref="B82:B83"/>
    <mergeCell ref="C82:C83"/>
    <mergeCell ref="D82:D83"/>
    <mergeCell ref="E82:E83"/>
    <mergeCell ref="F82:F83"/>
    <mergeCell ref="B84:B85"/>
    <mergeCell ref="C84:C85"/>
    <mergeCell ref="D84:D85"/>
    <mergeCell ref="E84:E85"/>
    <mergeCell ref="F84:F85"/>
    <mergeCell ref="B76:B77"/>
    <mergeCell ref="C76:C77"/>
    <mergeCell ref="D76:D77"/>
    <mergeCell ref="E76:E77"/>
    <mergeCell ref="F76:F77"/>
    <mergeCell ref="B78:B79"/>
    <mergeCell ref="C78:C79"/>
    <mergeCell ref="D78:D79"/>
    <mergeCell ref="E78:E79"/>
    <mergeCell ref="F78:F79"/>
    <mergeCell ref="B70:B71"/>
    <mergeCell ref="C70:C71"/>
    <mergeCell ref="D70:D71"/>
    <mergeCell ref="E70:E71"/>
    <mergeCell ref="F70:F71"/>
    <mergeCell ref="B72:B73"/>
    <mergeCell ref="C72:C73"/>
    <mergeCell ref="D72:D73"/>
    <mergeCell ref="E72:E73"/>
    <mergeCell ref="F72:F73"/>
    <mergeCell ref="B64:B65"/>
    <mergeCell ref="C64:C65"/>
    <mergeCell ref="D64:D65"/>
    <mergeCell ref="E64:E65"/>
    <mergeCell ref="F64:F65"/>
    <mergeCell ref="B66:B67"/>
    <mergeCell ref="C66:C67"/>
    <mergeCell ref="D66:D67"/>
    <mergeCell ref="E66:E67"/>
    <mergeCell ref="F66:F67"/>
    <mergeCell ref="B58:B59"/>
    <mergeCell ref="C58:C59"/>
    <mergeCell ref="D58:D59"/>
    <mergeCell ref="E58:E59"/>
    <mergeCell ref="F58:F59"/>
    <mergeCell ref="B60:B61"/>
    <mergeCell ref="C60:C61"/>
    <mergeCell ref="D60:D61"/>
    <mergeCell ref="E60:E61"/>
    <mergeCell ref="F60:F61"/>
    <mergeCell ref="B52:B53"/>
    <mergeCell ref="C52:C53"/>
    <mergeCell ref="D52:D53"/>
    <mergeCell ref="E52:E53"/>
    <mergeCell ref="F52:F53"/>
    <mergeCell ref="B54:B55"/>
    <mergeCell ref="C54:C55"/>
    <mergeCell ref="D54:D55"/>
    <mergeCell ref="E54:E55"/>
    <mergeCell ref="F54:F55"/>
    <mergeCell ref="B46:B47"/>
    <mergeCell ref="C46:C47"/>
    <mergeCell ref="D46:D47"/>
    <mergeCell ref="E46:E47"/>
    <mergeCell ref="F46:F47"/>
    <mergeCell ref="B48:B49"/>
    <mergeCell ref="C48:C49"/>
    <mergeCell ref="D48:D49"/>
    <mergeCell ref="E48:E49"/>
    <mergeCell ref="F48:F49"/>
    <mergeCell ref="B40:B41"/>
    <mergeCell ref="C40:C41"/>
    <mergeCell ref="D40:D41"/>
    <mergeCell ref="E40:E41"/>
    <mergeCell ref="F40:F41"/>
    <mergeCell ref="B42:B43"/>
    <mergeCell ref="C42:C43"/>
    <mergeCell ref="D42:D43"/>
    <mergeCell ref="E42:E43"/>
    <mergeCell ref="F42:F43"/>
    <mergeCell ref="B34:B35"/>
    <mergeCell ref="C34:C35"/>
    <mergeCell ref="D34:D35"/>
    <mergeCell ref="E34:E35"/>
    <mergeCell ref="F34:F35"/>
    <mergeCell ref="B36:B37"/>
    <mergeCell ref="C36:C37"/>
    <mergeCell ref="D36:D37"/>
    <mergeCell ref="E36:E37"/>
    <mergeCell ref="F36:F37"/>
    <mergeCell ref="B28:B29"/>
    <mergeCell ref="C28:C29"/>
    <mergeCell ref="D28:D29"/>
    <mergeCell ref="E28:E29"/>
    <mergeCell ref="F28:F29"/>
    <mergeCell ref="B30:B31"/>
    <mergeCell ref="C30:C31"/>
    <mergeCell ref="D30:D31"/>
    <mergeCell ref="E30:E31"/>
    <mergeCell ref="F30:F31"/>
    <mergeCell ref="B22:B23"/>
    <mergeCell ref="C22:C23"/>
    <mergeCell ref="D22:D23"/>
    <mergeCell ref="E22:E23"/>
    <mergeCell ref="F22:F23"/>
    <mergeCell ref="B24:B25"/>
    <mergeCell ref="C24:C25"/>
    <mergeCell ref="D24:D25"/>
    <mergeCell ref="E24:E25"/>
    <mergeCell ref="F24:F25"/>
    <mergeCell ref="B16:B17"/>
    <mergeCell ref="C16:C17"/>
    <mergeCell ref="D16:D17"/>
    <mergeCell ref="E16:E17"/>
    <mergeCell ref="F16:F17"/>
    <mergeCell ref="B18:B19"/>
    <mergeCell ref="C18:C19"/>
    <mergeCell ref="D18:D19"/>
    <mergeCell ref="E18:E19"/>
    <mergeCell ref="F18:F19"/>
    <mergeCell ref="B9:B10"/>
    <mergeCell ref="C9:C10"/>
    <mergeCell ref="D9:D10"/>
    <mergeCell ref="E9:E10"/>
    <mergeCell ref="F9:F10"/>
    <mergeCell ref="B11:B12"/>
    <mergeCell ref="C11:C12"/>
    <mergeCell ref="D11:D12"/>
    <mergeCell ref="E11:E12"/>
    <mergeCell ref="F11:F12"/>
  </mergeCells>
  <hyperlinks>
    <hyperlink ref="A2" r:id="rId1" display="https://www.scoresandodds.com/nfl/odds" xr:uid="{EBE631C7-E81D-4E54-9C0D-47579C30F3E7}"/>
    <hyperlink ref="A3" r:id="rId2" display="https://www.scoresandodds.com/nfl/consensus-picks" xr:uid="{F88CF81B-31DC-4844-B6E0-563EEADAA3CA}"/>
    <hyperlink ref="A4" r:id="rId3" display="https://www.scoresandodds.com/nfl/more-lines" xr:uid="{6E2E59ED-F6FF-48A2-A675-57816757CEE9}"/>
    <hyperlink ref="A5" r:id="rId4" display="https://www.scoresandodds.com/nfl/props" xr:uid="{0D19B347-7C24-4373-9691-374DA2DE8B8B}"/>
    <hyperlink ref="A6" r:id="rId5" display="https://www.scoresandodds.com/nfl/parlays" xr:uid="{E572A388-53C2-4460-9422-A6F6D00709B3}"/>
    <hyperlink ref="A7" r:id="rId6" display="https://www.scoresandodds.com/nfl/picks" xr:uid="{58DF5481-E45D-4ABA-9631-7E3D0756246C}"/>
    <hyperlink ref="A10" r:id="rId7" display="https://www.scoresandodds.com/nfl/teams/cowboys" xr:uid="{FD30E456-CC1F-4158-87E5-D449A6B29CA4}"/>
    <hyperlink ref="A12" r:id="rId8" display="https://www.scoresandodds.com/nfl/teams/eagles" xr:uid="{BDCB3F93-8EC9-4FDE-9F57-4B9360A705A3}"/>
    <hyperlink ref="A17" r:id="rId9" display="https://www.scoresandodds.com/nfl/teams/chiefs" xr:uid="{21F3EC2A-972B-4644-9AB0-B64A45EDEBC3}"/>
    <hyperlink ref="A19" r:id="rId10" display="https://www.scoresandodds.com/nfl/teams/chargers" xr:uid="{CBF8F4A3-B5B4-41DE-8B2E-560A53AD8686}"/>
    <hyperlink ref="A23" r:id="rId11" display="https://www.scoresandodds.com/nfl/teams/giants" xr:uid="{B1266F52-21DA-4E63-9EA9-4B210818EC35}"/>
    <hyperlink ref="A25" r:id="rId12" display="https://www.scoresandodds.com/nfl/teams/commanders" xr:uid="{39F43EAF-EA58-4AB7-9C5B-FF98E7C99354}"/>
    <hyperlink ref="A29" r:id="rId13" display="https://www.scoresandodds.com/nfl/teams/panthers" xr:uid="{72D597C6-6B1E-406F-B305-1F014575B88E}"/>
    <hyperlink ref="A31" r:id="rId14" display="https://www.scoresandodds.com/nfl/teams/jaguars" xr:uid="{E718E636-60D9-4F97-A020-C6C0D4315246}"/>
    <hyperlink ref="A35" r:id="rId15" display="https://www.scoresandodds.com/nfl/teams/dolphins" xr:uid="{39A26E56-F2F8-4FE8-AAE8-08491828607E}"/>
    <hyperlink ref="A37" r:id="rId16" display="https://www.scoresandodds.com/nfl/teams/colts" xr:uid="{40802709-FC56-425A-A189-338C31671BFA}"/>
    <hyperlink ref="A41" r:id="rId17" display="https://www.scoresandodds.com/nfl/teams/buccaneers" xr:uid="{0E5DA01D-4CE2-42AA-843C-FED5126DC2CC}"/>
    <hyperlink ref="A43" r:id="rId18" display="https://www.scoresandodds.com/nfl/teams/falcons" xr:uid="{214AF73E-DD2E-4619-AFD3-B77CCB802185}"/>
    <hyperlink ref="A47" r:id="rId19" display="https://www.scoresandodds.com/nfl/teams/cardinals" xr:uid="{E1409D2B-C8C3-431D-AB85-67CCE6DCAB09}"/>
    <hyperlink ref="A49" r:id="rId20" display="https://www.scoresandodds.com/nfl/teams/saints" xr:uid="{7201ECAB-1371-4F0C-8CDF-DDA8347D481B}"/>
    <hyperlink ref="A53" r:id="rId21" display="https://www.scoresandodds.com/nfl/teams/steelers" xr:uid="{BABA4946-3E16-4254-8501-4BED93AE57D4}"/>
    <hyperlink ref="A55" r:id="rId22" display="https://www.scoresandodds.com/nfl/teams/jets" xr:uid="{5CC86BF3-4D45-49C1-98A8-916F2A740E04}"/>
    <hyperlink ref="A59" r:id="rId23" display="https://www.scoresandodds.com/nfl/teams/raiders" xr:uid="{B27180C5-C821-4F0F-9D37-1C98436987B4}"/>
    <hyperlink ref="A61" r:id="rId24" display="https://www.scoresandodds.com/nfl/teams/patriots" xr:uid="{9215513A-9DC1-40E3-A98F-AFF5C20C7A3F}"/>
    <hyperlink ref="A65" r:id="rId25" display="https://www.scoresandodds.com/nfl/teams/bengals" xr:uid="{E4B9B805-AF73-4594-A119-EEA38FAEC1BE}"/>
    <hyperlink ref="A67" r:id="rId26" display="https://www.scoresandodds.com/nfl/teams/browns" xr:uid="{9AB02D02-16EE-47B7-B0EF-6CB1C02B560E}"/>
    <hyperlink ref="A71" r:id="rId27" display="https://www.scoresandodds.com/nfl/teams/49ers" xr:uid="{4842F813-D02E-4500-9EE5-C299B1EBB1D9}"/>
    <hyperlink ref="A73" r:id="rId28" display="https://www.scoresandodds.com/nfl/teams/seahawks" xr:uid="{B4CA5318-0F9F-410C-8843-D715CC4794F7}"/>
    <hyperlink ref="A77" r:id="rId29" display="https://www.scoresandodds.com/nfl/teams/titans" xr:uid="{940B5589-7984-4EC9-ACFB-9742C0F18F00}"/>
    <hyperlink ref="A79" r:id="rId30" display="https://www.scoresandodds.com/nfl/teams/broncos" xr:uid="{28164F30-E913-4886-BEFB-DA0BAC2DAD59}"/>
    <hyperlink ref="A83" r:id="rId31" display="https://www.scoresandodds.com/nfl/teams/lions" xr:uid="{5AA8BCEF-6978-489D-A686-47F88284752C}"/>
    <hyperlink ref="A85" r:id="rId32" display="https://www.scoresandodds.com/nfl/teams/packers" xr:uid="{934C8645-24E2-41DA-AE50-565A00DA4A04}"/>
    <hyperlink ref="A89" r:id="rId33" display="https://www.scoresandodds.com/nfl/teams/texans" xr:uid="{7EC75052-991A-4B10-BE8A-8597B8892048}"/>
    <hyperlink ref="A91" r:id="rId34" display="https://www.scoresandodds.com/nfl/teams/rams" xr:uid="{F8A96309-6778-4899-9FB6-E80811FCCE1B}"/>
    <hyperlink ref="A95" r:id="rId35" display="https://www.scoresandodds.com/nfl/teams/ravens" xr:uid="{05BB0024-5428-44F2-9F2E-F4074D2F0C22}"/>
    <hyperlink ref="A97" r:id="rId36" display="https://www.scoresandodds.com/nfl/teams/bills" xr:uid="{7E9092B0-A785-4C27-912A-903461E1D2AA}"/>
    <hyperlink ref="A102" r:id="rId37" display="https://www.scoresandodds.com/nfl/teams/vikings" xr:uid="{811FB581-D8B3-421C-966D-D984278B608A}"/>
    <hyperlink ref="A104" r:id="rId38" display="https://www.scoresandodds.com/nfl/teams/bears" xr:uid="{6D269DD5-5B3D-4C23-8524-1D9A2EC531D6}"/>
  </hyperlinks>
  <pageMargins left="0.7" right="0.7" top="0.75" bottom="0.75" header="0.3" footer="0.3"/>
  <drawing r:id="rId3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99083-28E5-4468-A425-C360585C540F}">
  <dimension ref="A1:F202"/>
  <sheetViews>
    <sheetView workbookViewId="0">
      <selection activeCell="D9" sqref="D9:D13"/>
    </sheetView>
  </sheetViews>
  <sheetFormatPr baseColWidth="10" defaultRowHeight="15" x14ac:dyDescent="0.25"/>
  <cols>
    <col min="1" max="1" width="70.5703125" bestFit="1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3" spans="1:6" x14ac:dyDescent="0.25">
      <c r="A3" s="2" t="s">
        <v>2</v>
      </c>
    </row>
    <row r="4" spans="1:6" x14ac:dyDescent="0.25">
      <c r="A4" s="2" t="s">
        <v>3</v>
      </c>
    </row>
    <row r="5" spans="1:6" x14ac:dyDescent="0.25">
      <c r="A5" s="2" t="s">
        <v>4</v>
      </c>
    </row>
    <row r="6" spans="1:6" x14ac:dyDescent="0.25">
      <c r="A6" s="2" t="s">
        <v>5</v>
      </c>
    </row>
    <row r="7" spans="1:6" x14ac:dyDescent="0.25">
      <c r="A7" s="2" t="s">
        <v>6</v>
      </c>
    </row>
    <row r="8" spans="1:6" ht="15.75" thickBot="1" x14ac:dyDescent="0.3">
      <c r="A8" s="3" t="s">
        <v>777</v>
      </c>
      <c r="B8" s="4"/>
      <c r="C8" s="4" t="s">
        <v>8</v>
      </c>
      <c r="D8" s="4" t="s">
        <v>9</v>
      </c>
      <c r="E8" s="4" t="s">
        <v>10</v>
      </c>
      <c r="F8" s="4" t="s">
        <v>11</v>
      </c>
    </row>
    <row r="9" spans="1:6" x14ac:dyDescent="0.25">
      <c r="A9" s="5">
        <v>103</v>
      </c>
      <c r="B9" s="14">
        <v>18</v>
      </c>
      <c r="C9" s="8" t="s">
        <v>177</v>
      </c>
      <c r="D9" s="18">
        <f>3.5-118</f>
        <v>-114.5</v>
      </c>
      <c r="E9" s="18" t="s">
        <v>177</v>
      </c>
      <c r="F9" s="18">
        <v>150</v>
      </c>
    </row>
    <row r="10" spans="1:6" x14ac:dyDescent="0.25">
      <c r="A10" s="6" t="s">
        <v>778</v>
      </c>
      <c r="B10" s="13"/>
      <c r="C10" s="8"/>
      <c r="D10" s="17"/>
      <c r="E10" s="17"/>
      <c r="F10" s="17"/>
    </row>
    <row r="11" spans="1:6" x14ac:dyDescent="0.25">
      <c r="A11" s="7"/>
      <c r="B11" s="13"/>
      <c r="C11" s="8" t="s">
        <v>779</v>
      </c>
      <c r="D11" s="17"/>
      <c r="E11" s="17"/>
      <c r="F11" s="17"/>
    </row>
    <row r="12" spans="1:6" x14ac:dyDescent="0.25">
      <c r="A12" s="7"/>
      <c r="B12" s="13"/>
      <c r="C12" s="8"/>
      <c r="D12" s="17"/>
      <c r="E12" s="17"/>
      <c r="F12" s="17"/>
    </row>
    <row r="13" spans="1:6" x14ac:dyDescent="0.25">
      <c r="A13" s="7"/>
      <c r="B13" s="13"/>
      <c r="C13" s="8" t="s">
        <v>779</v>
      </c>
      <c r="D13" s="17"/>
      <c r="E13" s="17"/>
      <c r="F13" s="17"/>
    </row>
    <row r="14" spans="1:6" x14ac:dyDescent="0.25">
      <c r="A14" s="9">
        <v>104</v>
      </c>
      <c r="B14" s="19">
        <v>27</v>
      </c>
      <c r="C14" s="12">
        <f>-3.5-102</f>
        <v>-105.5</v>
      </c>
      <c r="D14" s="21">
        <f>-3.5-102</f>
        <v>-105.5</v>
      </c>
      <c r="E14" s="21" t="s">
        <v>179</v>
      </c>
      <c r="F14" s="21">
        <v>-185</v>
      </c>
    </row>
    <row r="15" spans="1:6" x14ac:dyDescent="0.25">
      <c r="A15" s="10" t="s">
        <v>780</v>
      </c>
      <c r="B15" s="19"/>
      <c r="C15" s="12"/>
      <c r="D15" s="21"/>
      <c r="E15" s="21"/>
      <c r="F15" s="21"/>
    </row>
    <row r="16" spans="1:6" x14ac:dyDescent="0.25">
      <c r="A16" s="11"/>
      <c r="B16" s="19"/>
      <c r="C16" s="12">
        <f>-3.5-102</f>
        <v>-105.5</v>
      </c>
      <c r="D16" s="21"/>
      <c r="E16" s="21"/>
      <c r="F16" s="21"/>
    </row>
    <row r="17" spans="1:6" x14ac:dyDescent="0.25">
      <c r="A17" s="11"/>
      <c r="B17" s="19"/>
      <c r="C17" s="12"/>
      <c r="D17" s="21"/>
      <c r="E17" s="21"/>
      <c r="F17" s="21"/>
    </row>
    <row r="18" spans="1:6" x14ac:dyDescent="0.25">
      <c r="A18" s="11"/>
      <c r="B18" s="19"/>
      <c r="C18" s="12">
        <f>-3.5-105</f>
        <v>-108.5</v>
      </c>
      <c r="D18" s="21"/>
      <c r="E18" s="21"/>
      <c r="F18" s="21"/>
    </row>
    <row r="19" spans="1:6" ht="38.25" thickBot="1" x14ac:dyDescent="0.3">
      <c r="A19" s="22" t="s">
        <v>17</v>
      </c>
    </row>
    <row r="20" spans="1:6" ht="67.5" x14ac:dyDescent="0.25">
      <c r="A20" s="27" t="s">
        <v>116</v>
      </c>
    </row>
    <row r="21" spans="1:6" x14ac:dyDescent="0.25">
      <c r="A21" s="23" t="s">
        <v>102</v>
      </c>
    </row>
    <row r="22" spans="1:6" ht="15.75" thickBot="1" x14ac:dyDescent="0.3">
      <c r="A22" s="3" t="s">
        <v>781</v>
      </c>
      <c r="B22" s="4"/>
      <c r="C22" s="4" t="s">
        <v>8</v>
      </c>
      <c r="D22" s="4" t="s">
        <v>9</v>
      </c>
      <c r="E22" s="4" t="s">
        <v>10</v>
      </c>
      <c r="F22" s="4" t="s">
        <v>11</v>
      </c>
    </row>
    <row r="23" spans="1:6" x14ac:dyDescent="0.25">
      <c r="A23" s="5">
        <v>253</v>
      </c>
      <c r="B23" s="14">
        <v>27</v>
      </c>
      <c r="C23" s="8" t="s">
        <v>477</v>
      </c>
      <c r="D23" s="18">
        <f>3.5-115</f>
        <v>-111.5</v>
      </c>
      <c r="E23" s="16" t="s">
        <v>360</v>
      </c>
      <c r="F23" s="18">
        <v>160</v>
      </c>
    </row>
    <row r="24" spans="1:6" x14ac:dyDescent="0.25">
      <c r="A24" s="6" t="s">
        <v>782</v>
      </c>
      <c r="B24" s="13"/>
      <c r="C24" s="8"/>
      <c r="D24" s="17"/>
      <c r="E24" s="15"/>
      <c r="F24" s="17"/>
    </row>
    <row r="25" spans="1:6" x14ac:dyDescent="0.25">
      <c r="A25" s="7"/>
      <c r="B25" s="13"/>
      <c r="C25" s="8" t="s">
        <v>477</v>
      </c>
      <c r="D25" s="17"/>
      <c r="E25" s="15"/>
      <c r="F25" s="17"/>
    </row>
    <row r="26" spans="1:6" x14ac:dyDescent="0.25">
      <c r="A26" s="7"/>
      <c r="B26" s="13"/>
      <c r="C26" s="8"/>
      <c r="D26" s="17"/>
      <c r="E26" s="15"/>
      <c r="F26" s="17"/>
    </row>
    <row r="27" spans="1:6" x14ac:dyDescent="0.25">
      <c r="A27" s="7"/>
      <c r="B27" s="13"/>
      <c r="C27" s="8" t="s">
        <v>477</v>
      </c>
      <c r="D27" s="17"/>
      <c r="E27" s="15"/>
      <c r="F27" s="17"/>
    </row>
    <row r="28" spans="1:6" x14ac:dyDescent="0.25">
      <c r="A28" s="9">
        <v>254</v>
      </c>
      <c r="B28" s="19">
        <v>31</v>
      </c>
      <c r="C28" s="12">
        <f>-3.5-105</f>
        <v>-108.5</v>
      </c>
      <c r="D28" s="21">
        <f>-3.5-105</f>
        <v>-108.5</v>
      </c>
      <c r="E28" s="20" t="s">
        <v>477</v>
      </c>
      <c r="F28" s="21">
        <v>-192</v>
      </c>
    </row>
    <row r="29" spans="1:6" x14ac:dyDescent="0.25">
      <c r="A29" s="10" t="s">
        <v>783</v>
      </c>
      <c r="B29" s="19"/>
      <c r="C29" s="12"/>
      <c r="D29" s="21"/>
      <c r="E29" s="20"/>
      <c r="F29" s="21"/>
    </row>
    <row r="30" spans="1:6" x14ac:dyDescent="0.25">
      <c r="A30" s="11"/>
      <c r="B30" s="19"/>
      <c r="C30" s="12">
        <f>-3.5-105</f>
        <v>-108.5</v>
      </c>
      <c r="D30" s="21"/>
      <c r="E30" s="20"/>
      <c r="F30" s="21"/>
    </row>
    <row r="31" spans="1:6" x14ac:dyDescent="0.25">
      <c r="A31" s="11"/>
      <c r="B31" s="19"/>
      <c r="C31" s="12"/>
      <c r="D31" s="21"/>
      <c r="E31" s="20"/>
      <c r="F31" s="21"/>
    </row>
    <row r="32" spans="1:6" x14ac:dyDescent="0.25">
      <c r="A32" s="11"/>
      <c r="B32" s="19"/>
      <c r="C32" s="12">
        <f>-3-118</f>
        <v>-121</v>
      </c>
      <c r="D32" s="21"/>
      <c r="E32" s="20"/>
      <c r="F32" s="21"/>
    </row>
    <row r="33" spans="1:6" ht="37.5" x14ac:dyDescent="0.25">
      <c r="A33" s="22" t="s">
        <v>17</v>
      </c>
    </row>
    <row r="34" spans="1:6" ht="15.75" thickBot="1" x14ac:dyDescent="0.3">
      <c r="A34" s="3" t="s">
        <v>781</v>
      </c>
      <c r="B34" s="4"/>
      <c r="C34" s="4" t="s">
        <v>8</v>
      </c>
      <c r="D34" s="4" t="s">
        <v>9</v>
      </c>
      <c r="E34" s="4" t="s">
        <v>10</v>
      </c>
      <c r="F34" s="4" t="s">
        <v>11</v>
      </c>
    </row>
    <row r="35" spans="1:6" x14ac:dyDescent="0.25">
      <c r="A35" s="5">
        <v>267</v>
      </c>
      <c r="B35" s="25">
        <v>26</v>
      </c>
      <c r="C35" s="8">
        <f>-3-110</f>
        <v>-113</v>
      </c>
      <c r="D35" s="16">
        <f>-3-110</f>
        <v>-113</v>
      </c>
      <c r="E35" s="16" t="s">
        <v>119</v>
      </c>
      <c r="F35" s="16">
        <v>-162</v>
      </c>
    </row>
    <row r="36" spans="1:6" x14ac:dyDescent="0.25">
      <c r="A36" s="6" t="s">
        <v>784</v>
      </c>
      <c r="B36" s="24"/>
      <c r="C36" s="8"/>
      <c r="D36" s="15"/>
      <c r="E36" s="15"/>
      <c r="F36" s="15"/>
    </row>
    <row r="37" spans="1:6" x14ac:dyDescent="0.25">
      <c r="A37" s="7"/>
      <c r="B37" s="24"/>
      <c r="C37" s="8">
        <f>-3-110</f>
        <v>-113</v>
      </c>
      <c r="D37" s="15"/>
      <c r="E37" s="15"/>
      <c r="F37" s="15"/>
    </row>
    <row r="38" spans="1:6" x14ac:dyDescent="0.25">
      <c r="A38" s="7"/>
      <c r="B38" s="24"/>
      <c r="C38" s="8"/>
      <c r="D38" s="15"/>
      <c r="E38" s="15"/>
      <c r="F38" s="15"/>
    </row>
    <row r="39" spans="1:6" x14ac:dyDescent="0.25">
      <c r="A39" s="7"/>
      <c r="B39" s="24"/>
      <c r="C39" s="8">
        <f>-3-110</f>
        <v>-113</v>
      </c>
      <c r="D39" s="15"/>
      <c r="E39" s="15"/>
      <c r="F39" s="15"/>
    </row>
    <row r="40" spans="1:6" x14ac:dyDescent="0.25">
      <c r="A40" s="9">
        <v>268</v>
      </c>
      <c r="B40" s="26">
        <v>21</v>
      </c>
      <c r="C40" s="12" t="s">
        <v>122</v>
      </c>
      <c r="D40" s="20">
        <f>3-110</f>
        <v>-107</v>
      </c>
      <c r="E40" s="20" t="s">
        <v>122</v>
      </c>
      <c r="F40" s="20">
        <v>140</v>
      </c>
    </row>
    <row r="41" spans="1:6" x14ac:dyDescent="0.25">
      <c r="A41" s="10" t="s">
        <v>785</v>
      </c>
      <c r="B41" s="26"/>
      <c r="C41" s="12"/>
      <c r="D41" s="20"/>
      <c r="E41" s="20"/>
      <c r="F41" s="20"/>
    </row>
    <row r="42" spans="1:6" x14ac:dyDescent="0.25">
      <c r="A42" s="11"/>
      <c r="B42" s="26"/>
      <c r="C42" s="12" t="s">
        <v>162</v>
      </c>
      <c r="D42" s="20"/>
      <c r="E42" s="20"/>
      <c r="F42" s="20"/>
    </row>
    <row r="43" spans="1:6" x14ac:dyDescent="0.25">
      <c r="A43" s="11"/>
      <c r="B43" s="26"/>
      <c r="C43" s="12"/>
      <c r="D43" s="20"/>
      <c r="E43" s="20"/>
      <c r="F43" s="20"/>
    </row>
    <row r="44" spans="1:6" x14ac:dyDescent="0.25">
      <c r="A44" s="11"/>
      <c r="B44" s="26"/>
      <c r="C44" s="12" t="s">
        <v>164</v>
      </c>
      <c r="D44" s="20"/>
      <c r="E44" s="20"/>
      <c r="F44" s="20"/>
    </row>
    <row r="45" spans="1:6" ht="37.5" x14ac:dyDescent="0.25">
      <c r="A45" s="22" t="s">
        <v>17</v>
      </c>
    </row>
    <row r="46" spans="1:6" ht="15.75" thickBot="1" x14ac:dyDescent="0.3">
      <c r="A46" s="3" t="s">
        <v>781</v>
      </c>
      <c r="B46" s="4"/>
      <c r="C46" s="4" t="s">
        <v>8</v>
      </c>
      <c r="D46" s="4" t="s">
        <v>9</v>
      </c>
      <c r="E46" s="4" t="s">
        <v>10</v>
      </c>
      <c r="F46" s="4" t="s">
        <v>11</v>
      </c>
    </row>
    <row r="47" spans="1:6" x14ac:dyDescent="0.25">
      <c r="A47" s="5">
        <v>257</v>
      </c>
      <c r="B47" s="14">
        <v>37</v>
      </c>
      <c r="C47" s="8" t="s">
        <v>192</v>
      </c>
      <c r="D47" s="16" t="s">
        <v>787</v>
      </c>
      <c r="E47" s="16" t="s">
        <v>192</v>
      </c>
      <c r="F47" s="18">
        <v>195</v>
      </c>
    </row>
    <row r="48" spans="1:6" x14ac:dyDescent="0.25">
      <c r="A48" s="6" t="s">
        <v>786</v>
      </c>
      <c r="B48" s="13"/>
      <c r="C48" s="8"/>
      <c r="D48" s="15"/>
      <c r="E48" s="15"/>
      <c r="F48" s="17"/>
    </row>
    <row r="49" spans="1:6" x14ac:dyDescent="0.25">
      <c r="A49" s="7"/>
      <c r="B49" s="13"/>
      <c r="C49" s="8" t="s">
        <v>192</v>
      </c>
      <c r="D49" s="15"/>
      <c r="E49" s="15"/>
      <c r="F49" s="17"/>
    </row>
    <row r="50" spans="1:6" x14ac:dyDescent="0.25">
      <c r="A50" s="7"/>
      <c r="B50" s="13"/>
      <c r="C50" s="8"/>
      <c r="D50" s="15"/>
      <c r="E50" s="15"/>
      <c r="F50" s="17"/>
    </row>
    <row r="51" spans="1:6" x14ac:dyDescent="0.25">
      <c r="A51" s="7"/>
      <c r="B51" s="13"/>
      <c r="C51" s="8" t="s">
        <v>192</v>
      </c>
      <c r="D51" s="15"/>
      <c r="E51" s="15"/>
      <c r="F51" s="17"/>
    </row>
    <row r="52" spans="1:6" x14ac:dyDescent="0.25">
      <c r="A52" s="9">
        <v>258</v>
      </c>
      <c r="B52" s="19">
        <v>40</v>
      </c>
      <c r="C52" s="12">
        <f>-4.5-120</f>
        <v>-124.5</v>
      </c>
      <c r="D52" s="20">
        <f>-4.5-120</f>
        <v>-124.5</v>
      </c>
      <c r="E52" s="20" t="s">
        <v>108</v>
      </c>
      <c r="F52" s="21">
        <v>-230</v>
      </c>
    </row>
    <row r="53" spans="1:6" x14ac:dyDescent="0.25">
      <c r="A53" s="10" t="s">
        <v>788</v>
      </c>
      <c r="B53" s="19"/>
      <c r="C53" s="12"/>
      <c r="D53" s="20"/>
      <c r="E53" s="20"/>
      <c r="F53" s="21"/>
    </row>
    <row r="54" spans="1:6" x14ac:dyDescent="0.25">
      <c r="A54" s="11"/>
      <c r="B54" s="19"/>
      <c r="C54" s="12">
        <f>-4.5-115</f>
        <v>-119.5</v>
      </c>
      <c r="D54" s="20"/>
      <c r="E54" s="20"/>
      <c r="F54" s="21"/>
    </row>
    <row r="55" spans="1:6" x14ac:dyDescent="0.25">
      <c r="A55" s="11"/>
      <c r="B55" s="19"/>
      <c r="C55" s="12"/>
      <c r="D55" s="20"/>
      <c r="E55" s="20"/>
      <c r="F55" s="21"/>
    </row>
    <row r="56" spans="1:6" x14ac:dyDescent="0.25">
      <c r="A56" s="11"/>
      <c r="B56" s="19"/>
      <c r="C56" s="12">
        <f>-4.5-120</f>
        <v>-124.5</v>
      </c>
      <c r="D56" s="20"/>
      <c r="E56" s="20"/>
      <c r="F56" s="21"/>
    </row>
    <row r="57" spans="1:6" ht="37.5" x14ac:dyDescent="0.25">
      <c r="A57" s="22" t="s">
        <v>17</v>
      </c>
    </row>
    <row r="58" spans="1:6" ht="15.75" thickBot="1" x14ac:dyDescent="0.3">
      <c r="A58" s="3" t="s">
        <v>781</v>
      </c>
      <c r="B58" s="4"/>
      <c r="C58" s="4" t="s">
        <v>8</v>
      </c>
      <c r="D58" s="4" t="s">
        <v>9</v>
      </c>
      <c r="E58" s="4" t="s">
        <v>10</v>
      </c>
      <c r="F58" s="4" t="s">
        <v>11</v>
      </c>
    </row>
    <row r="59" spans="1:6" x14ac:dyDescent="0.25">
      <c r="A59" s="5">
        <v>261</v>
      </c>
      <c r="B59" s="25">
        <v>30</v>
      </c>
      <c r="C59" s="8">
        <f>-6-112</f>
        <v>-118</v>
      </c>
      <c r="D59" s="16">
        <f>-6-112</f>
        <v>-118</v>
      </c>
      <c r="E59" s="18" t="s">
        <v>310</v>
      </c>
      <c r="F59" s="16">
        <v>-290</v>
      </c>
    </row>
    <row r="60" spans="1:6" x14ac:dyDescent="0.25">
      <c r="A60" s="6" t="s">
        <v>789</v>
      </c>
      <c r="B60" s="24"/>
      <c r="C60" s="8"/>
      <c r="D60" s="15"/>
      <c r="E60" s="17"/>
      <c r="F60" s="15"/>
    </row>
    <row r="61" spans="1:6" x14ac:dyDescent="0.25">
      <c r="A61" s="7"/>
      <c r="B61" s="24"/>
      <c r="C61" s="8">
        <f>-6.5-105</f>
        <v>-111.5</v>
      </c>
      <c r="D61" s="15"/>
      <c r="E61" s="17"/>
      <c r="F61" s="15"/>
    </row>
    <row r="62" spans="1:6" x14ac:dyDescent="0.25">
      <c r="A62" s="7"/>
      <c r="B62" s="24"/>
      <c r="C62" s="8"/>
      <c r="D62" s="15"/>
      <c r="E62" s="17"/>
      <c r="F62" s="15"/>
    </row>
    <row r="63" spans="1:6" x14ac:dyDescent="0.25">
      <c r="A63" s="7"/>
      <c r="B63" s="24"/>
      <c r="C63" s="8">
        <f>-6.5-112</f>
        <v>-118.5</v>
      </c>
      <c r="D63" s="15"/>
      <c r="E63" s="17"/>
      <c r="F63" s="15"/>
    </row>
    <row r="64" spans="1:6" x14ac:dyDescent="0.25">
      <c r="A64" s="9">
        <v>262</v>
      </c>
      <c r="B64" s="26">
        <v>10</v>
      </c>
      <c r="C64" s="12" t="s">
        <v>373</v>
      </c>
      <c r="D64" s="20">
        <f>6-108</f>
        <v>-102</v>
      </c>
      <c r="E64" s="21" t="s">
        <v>373</v>
      </c>
      <c r="F64" s="20">
        <v>225</v>
      </c>
    </row>
    <row r="65" spans="1:6" x14ac:dyDescent="0.25">
      <c r="A65" s="10" t="s">
        <v>790</v>
      </c>
      <c r="B65" s="26"/>
      <c r="C65" s="12"/>
      <c r="D65" s="20"/>
      <c r="E65" s="21"/>
      <c r="F65" s="20"/>
    </row>
    <row r="66" spans="1:6" x14ac:dyDescent="0.25">
      <c r="A66" s="11"/>
      <c r="B66" s="26"/>
      <c r="C66" s="12" t="s">
        <v>373</v>
      </c>
      <c r="D66" s="20"/>
      <c r="E66" s="21"/>
      <c r="F66" s="20"/>
    </row>
    <row r="67" spans="1:6" x14ac:dyDescent="0.25">
      <c r="A67" s="11"/>
      <c r="B67" s="26"/>
      <c r="C67" s="12"/>
      <c r="D67" s="20"/>
      <c r="E67" s="21"/>
      <c r="F67" s="20"/>
    </row>
    <row r="68" spans="1:6" x14ac:dyDescent="0.25">
      <c r="A68" s="11"/>
      <c r="B68" s="26"/>
      <c r="C68" s="12" t="s">
        <v>373</v>
      </c>
      <c r="D68" s="20"/>
      <c r="E68" s="21"/>
      <c r="F68" s="20"/>
    </row>
    <row r="69" spans="1:6" ht="37.5" x14ac:dyDescent="0.25">
      <c r="A69" s="22" t="s">
        <v>17</v>
      </c>
    </row>
    <row r="70" spans="1:6" ht="15.75" thickBot="1" x14ac:dyDescent="0.3">
      <c r="A70" s="3" t="s">
        <v>781</v>
      </c>
      <c r="B70" s="4"/>
      <c r="C70" s="4" t="s">
        <v>8</v>
      </c>
      <c r="D70" s="4" t="s">
        <v>9</v>
      </c>
      <c r="E70" s="4" t="s">
        <v>10</v>
      </c>
      <c r="F70" s="4" t="s">
        <v>11</v>
      </c>
    </row>
    <row r="71" spans="1:6" x14ac:dyDescent="0.25">
      <c r="A71" s="5">
        <v>263</v>
      </c>
      <c r="B71" s="14">
        <v>21</v>
      </c>
      <c r="C71" s="8" t="s">
        <v>31</v>
      </c>
      <c r="D71" s="18">
        <f>6-112</f>
        <v>-106</v>
      </c>
      <c r="E71" s="16" t="s">
        <v>495</v>
      </c>
      <c r="F71" s="18">
        <v>225</v>
      </c>
    </row>
    <row r="72" spans="1:6" x14ac:dyDescent="0.25">
      <c r="A72" s="6" t="s">
        <v>791</v>
      </c>
      <c r="B72" s="13"/>
      <c r="C72" s="8"/>
      <c r="D72" s="17"/>
      <c r="E72" s="15"/>
      <c r="F72" s="17"/>
    </row>
    <row r="73" spans="1:6" x14ac:dyDescent="0.25">
      <c r="A73" s="7"/>
      <c r="B73" s="13"/>
      <c r="C73" s="8" t="s">
        <v>230</v>
      </c>
      <c r="D73" s="17"/>
      <c r="E73" s="15"/>
      <c r="F73" s="17"/>
    </row>
    <row r="74" spans="1:6" x14ac:dyDescent="0.25">
      <c r="A74" s="7"/>
      <c r="B74" s="13"/>
      <c r="C74" s="8"/>
      <c r="D74" s="17"/>
      <c r="E74" s="15"/>
      <c r="F74" s="17"/>
    </row>
    <row r="75" spans="1:6" x14ac:dyDescent="0.25">
      <c r="A75" s="7"/>
      <c r="B75" s="13"/>
      <c r="C75" s="8" t="s">
        <v>230</v>
      </c>
      <c r="D75" s="17"/>
      <c r="E75" s="15"/>
      <c r="F75" s="17"/>
    </row>
    <row r="76" spans="1:6" x14ac:dyDescent="0.25">
      <c r="A76" s="9">
        <v>264</v>
      </c>
      <c r="B76" s="19">
        <v>52</v>
      </c>
      <c r="C76" s="12">
        <f>-6-108</f>
        <v>-114</v>
      </c>
      <c r="D76" s="21">
        <f>-6-108</f>
        <v>-114</v>
      </c>
      <c r="E76" s="20" t="s">
        <v>31</v>
      </c>
      <c r="F76" s="21">
        <v>-265</v>
      </c>
    </row>
    <row r="77" spans="1:6" x14ac:dyDescent="0.25">
      <c r="A77" s="10" t="s">
        <v>792</v>
      </c>
      <c r="B77" s="19"/>
      <c r="C77" s="12"/>
      <c r="D77" s="21"/>
      <c r="E77" s="20"/>
      <c r="F77" s="21"/>
    </row>
    <row r="78" spans="1:6" x14ac:dyDescent="0.25">
      <c r="A78" s="11"/>
      <c r="B78" s="19"/>
      <c r="C78" s="12">
        <f>-6-108</f>
        <v>-114</v>
      </c>
      <c r="D78" s="21"/>
      <c r="E78" s="20"/>
      <c r="F78" s="21"/>
    </row>
    <row r="79" spans="1:6" x14ac:dyDescent="0.25">
      <c r="A79" s="11"/>
      <c r="B79" s="19"/>
      <c r="C79" s="12"/>
      <c r="D79" s="21"/>
      <c r="E79" s="20"/>
      <c r="F79" s="21"/>
    </row>
    <row r="80" spans="1:6" x14ac:dyDescent="0.25">
      <c r="A80" s="11"/>
      <c r="B80" s="19"/>
      <c r="C80" s="12">
        <f>-6.5-108</f>
        <v>-114.5</v>
      </c>
      <c r="D80" s="21"/>
      <c r="E80" s="20"/>
      <c r="F80" s="21"/>
    </row>
    <row r="81" spans="1:6" ht="37.5" x14ac:dyDescent="0.25">
      <c r="A81" s="22" t="s">
        <v>17</v>
      </c>
    </row>
    <row r="82" spans="1:6" ht="15.75" thickBot="1" x14ac:dyDescent="0.3">
      <c r="A82" s="3" t="s">
        <v>781</v>
      </c>
      <c r="B82" s="4"/>
      <c r="C82" s="4" t="s">
        <v>8</v>
      </c>
      <c r="D82" s="4" t="s">
        <v>9</v>
      </c>
      <c r="E82" s="4" t="s">
        <v>10</v>
      </c>
      <c r="F82" s="4" t="s">
        <v>11</v>
      </c>
    </row>
    <row r="83" spans="1:6" x14ac:dyDescent="0.25">
      <c r="A83" s="5">
        <v>255</v>
      </c>
      <c r="B83" s="14">
        <v>17</v>
      </c>
      <c r="C83" s="8" t="s">
        <v>51</v>
      </c>
      <c r="D83" s="18">
        <f>12.5-105</f>
        <v>-92.5</v>
      </c>
      <c r="E83" s="16" t="s">
        <v>51</v>
      </c>
      <c r="F83" s="18">
        <v>600</v>
      </c>
    </row>
    <row r="84" spans="1:6" x14ac:dyDescent="0.25">
      <c r="A84" s="6" t="s">
        <v>793</v>
      </c>
      <c r="B84" s="13"/>
      <c r="C84" s="8"/>
      <c r="D84" s="17"/>
      <c r="E84" s="15"/>
      <c r="F84" s="17"/>
    </row>
    <row r="85" spans="1:6" x14ac:dyDescent="0.25">
      <c r="A85" s="7"/>
      <c r="B85" s="13"/>
      <c r="C85" s="8" t="s">
        <v>51</v>
      </c>
      <c r="D85" s="17"/>
      <c r="E85" s="15"/>
      <c r="F85" s="17"/>
    </row>
    <row r="86" spans="1:6" x14ac:dyDescent="0.25">
      <c r="A86" s="7"/>
      <c r="B86" s="13"/>
      <c r="C86" s="8"/>
      <c r="D86" s="17"/>
      <c r="E86" s="15"/>
      <c r="F86" s="17"/>
    </row>
    <row r="87" spans="1:6" x14ac:dyDescent="0.25">
      <c r="A87" s="7"/>
      <c r="B87" s="13"/>
      <c r="C87" s="8" t="s">
        <v>522</v>
      </c>
      <c r="D87" s="17"/>
      <c r="E87" s="15"/>
      <c r="F87" s="17"/>
    </row>
    <row r="88" spans="1:6" x14ac:dyDescent="0.25">
      <c r="A88" s="9">
        <v>256</v>
      </c>
      <c r="B88" s="19">
        <v>41</v>
      </c>
      <c r="C88" s="12">
        <f>-12.5-115</f>
        <v>-127.5</v>
      </c>
      <c r="D88" s="21">
        <f>-12.5-115</f>
        <v>-127.5</v>
      </c>
      <c r="E88" s="20" t="s">
        <v>53</v>
      </c>
      <c r="F88" s="21">
        <v>-850</v>
      </c>
    </row>
    <row r="89" spans="1:6" x14ac:dyDescent="0.25">
      <c r="A89" s="10" t="s">
        <v>794</v>
      </c>
      <c r="B89" s="19"/>
      <c r="C89" s="12"/>
      <c r="D89" s="21"/>
      <c r="E89" s="20"/>
      <c r="F89" s="21"/>
    </row>
    <row r="90" spans="1:6" x14ac:dyDescent="0.25">
      <c r="A90" s="11"/>
      <c r="B90" s="19"/>
      <c r="C90" s="12">
        <f>-12.5-110</f>
        <v>-122.5</v>
      </c>
      <c r="D90" s="21"/>
      <c r="E90" s="20"/>
      <c r="F90" s="21"/>
    </row>
    <row r="91" spans="1:6" x14ac:dyDescent="0.25">
      <c r="A91" s="11"/>
      <c r="B91" s="19"/>
      <c r="C91" s="12"/>
      <c r="D91" s="21"/>
      <c r="E91" s="20"/>
      <c r="F91" s="21"/>
    </row>
    <row r="92" spans="1:6" x14ac:dyDescent="0.25">
      <c r="A92" s="11"/>
      <c r="B92" s="19"/>
      <c r="C92" s="12">
        <f>-12.5-110</f>
        <v>-122.5</v>
      </c>
      <c r="D92" s="21"/>
      <c r="E92" s="20"/>
      <c r="F92" s="21"/>
    </row>
    <row r="93" spans="1:6" ht="37.5" x14ac:dyDescent="0.25">
      <c r="A93" s="22" t="s">
        <v>17</v>
      </c>
    </row>
    <row r="94" spans="1:6" ht="15.75" thickBot="1" x14ac:dyDescent="0.3">
      <c r="A94" s="3" t="s">
        <v>781</v>
      </c>
      <c r="B94" s="4"/>
      <c r="C94" s="4" t="s">
        <v>8</v>
      </c>
      <c r="D94" s="4" t="s">
        <v>9</v>
      </c>
      <c r="E94" s="4" t="s">
        <v>10</v>
      </c>
      <c r="F94" s="4" t="s">
        <v>11</v>
      </c>
    </row>
    <row r="95" spans="1:6" x14ac:dyDescent="0.25">
      <c r="A95" s="5">
        <v>259</v>
      </c>
      <c r="B95" s="25">
        <v>33</v>
      </c>
      <c r="C95" s="8">
        <f>-5.5-108</f>
        <v>-113.5</v>
      </c>
      <c r="D95" s="16">
        <f>-5.5-108</f>
        <v>-113.5</v>
      </c>
      <c r="E95" s="16" t="s">
        <v>119</v>
      </c>
      <c r="F95" s="16">
        <v>-250</v>
      </c>
    </row>
    <row r="96" spans="1:6" x14ac:dyDescent="0.25">
      <c r="A96" s="6" t="s">
        <v>795</v>
      </c>
      <c r="B96" s="24"/>
      <c r="C96" s="8"/>
      <c r="D96" s="15"/>
      <c r="E96" s="15"/>
      <c r="F96" s="15"/>
    </row>
    <row r="97" spans="1:6" x14ac:dyDescent="0.25">
      <c r="A97" s="7"/>
      <c r="B97" s="24"/>
      <c r="C97" s="8">
        <f>-5.5-108</f>
        <v>-113.5</v>
      </c>
      <c r="D97" s="15"/>
      <c r="E97" s="15"/>
      <c r="F97" s="15"/>
    </row>
    <row r="98" spans="1:6" x14ac:dyDescent="0.25">
      <c r="A98" s="7"/>
      <c r="B98" s="24"/>
      <c r="C98" s="8"/>
      <c r="D98" s="15"/>
      <c r="E98" s="15"/>
      <c r="F98" s="15"/>
    </row>
    <row r="99" spans="1:6" x14ac:dyDescent="0.25">
      <c r="A99" s="7"/>
      <c r="B99" s="24"/>
      <c r="C99" s="8">
        <f>-5.5-108</f>
        <v>-113.5</v>
      </c>
      <c r="D99" s="15"/>
      <c r="E99" s="15"/>
      <c r="F99" s="15"/>
    </row>
    <row r="100" spans="1:6" x14ac:dyDescent="0.25">
      <c r="A100" s="9">
        <v>260</v>
      </c>
      <c r="B100" s="26">
        <v>19</v>
      </c>
      <c r="C100" s="12" t="s">
        <v>122</v>
      </c>
      <c r="D100" s="20">
        <f>5.5-112</f>
        <v>-106.5</v>
      </c>
      <c r="E100" s="20" t="s">
        <v>122</v>
      </c>
      <c r="F100" s="20">
        <v>205</v>
      </c>
    </row>
    <row r="101" spans="1:6" x14ac:dyDescent="0.25">
      <c r="A101" s="10" t="s">
        <v>796</v>
      </c>
      <c r="B101" s="26"/>
      <c r="C101" s="12"/>
      <c r="D101" s="20"/>
      <c r="E101" s="20"/>
      <c r="F101" s="20"/>
    </row>
    <row r="102" spans="1:6" x14ac:dyDescent="0.25">
      <c r="A102" s="11"/>
      <c r="B102" s="26"/>
      <c r="C102" s="12" t="s">
        <v>225</v>
      </c>
      <c r="D102" s="20"/>
      <c r="E102" s="20"/>
      <c r="F102" s="20"/>
    </row>
    <row r="103" spans="1:6" x14ac:dyDescent="0.25">
      <c r="A103" s="11"/>
      <c r="B103" s="26"/>
      <c r="C103" s="12"/>
      <c r="D103" s="20"/>
      <c r="E103" s="20"/>
      <c r="F103" s="20"/>
    </row>
    <row r="104" spans="1:6" x14ac:dyDescent="0.25">
      <c r="A104" s="11"/>
      <c r="B104" s="26"/>
      <c r="C104" s="12" t="s">
        <v>351</v>
      </c>
      <c r="D104" s="20"/>
      <c r="E104" s="20"/>
      <c r="F104" s="20"/>
    </row>
    <row r="105" spans="1:6" ht="37.5" x14ac:dyDescent="0.25">
      <c r="A105" s="22" t="s">
        <v>17</v>
      </c>
    </row>
    <row r="106" spans="1:6" ht="15.75" thickBot="1" x14ac:dyDescent="0.3">
      <c r="A106" s="3" t="s">
        <v>781</v>
      </c>
      <c r="B106" s="4"/>
      <c r="C106" s="4" t="s">
        <v>8</v>
      </c>
      <c r="D106" s="4" t="s">
        <v>9</v>
      </c>
      <c r="E106" s="4" t="s">
        <v>10</v>
      </c>
      <c r="F106" s="4" t="s">
        <v>11</v>
      </c>
    </row>
    <row r="107" spans="1:6" x14ac:dyDescent="0.25">
      <c r="A107" s="5">
        <v>265</v>
      </c>
      <c r="B107" s="25">
        <v>31</v>
      </c>
      <c r="C107" s="8" t="s">
        <v>420</v>
      </c>
      <c r="D107" s="16">
        <f>3.5-110</f>
        <v>-106.5</v>
      </c>
      <c r="E107" s="16" t="s">
        <v>420</v>
      </c>
      <c r="F107" s="16">
        <v>160</v>
      </c>
    </row>
    <row r="108" spans="1:6" x14ac:dyDescent="0.25">
      <c r="A108" s="6" t="s">
        <v>797</v>
      </c>
      <c r="B108" s="24"/>
      <c r="C108" s="8"/>
      <c r="D108" s="15"/>
      <c r="E108" s="15"/>
      <c r="F108" s="15"/>
    </row>
    <row r="109" spans="1:6" x14ac:dyDescent="0.25">
      <c r="A109" s="7"/>
      <c r="B109" s="24"/>
      <c r="C109" s="8" t="s">
        <v>420</v>
      </c>
      <c r="D109" s="15"/>
      <c r="E109" s="15"/>
      <c r="F109" s="15"/>
    </row>
    <row r="110" spans="1:6" x14ac:dyDescent="0.25">
      <c r="A110" s="7"/>
      <c r="B110" s="24"/>
      <c r="C110" s="8"/>
      <c r="D110" s="15"/>
      <c r="E110" s="15"/>
      <c r="F110" s="15"/>
    </row>
    <row r="111" spans="1:6" x14ac:dyDescent="0.25">
      <c r="A111" s="7"/>
      <c r="B111" s="24"/>
      <c r="C111" s="8" t="s">
        <v>420</v>
      </c>
      <c r="D111" s="15"/>
      <c r="E111" s="15"/>
      <c r="F111" s="15"/>
    </row>
    <row r="112" spans="1:6" x14ac:dyDescent="0.25">
      <c r="A112" s="9">
        <v>266</v>
      </c>
      <c r="B112" s="26">
        <v>17</v>
      </c>
      <c r="C112" s="12">
        <f>-3.5-110</f>
        <v>-113.5</v>
      </c>
      <c r="D112" s="20">
        <f>-3.5-110</f>
        <v>-113.5</v>
      </c>
      <c r="E112" s="20" t="s">
        <v>164</v>
      </c>
      <c r="F112" s="20">
        <v>-198</v>
      </c>
    </row>
    <row r="113" spans="1:6" x14ac:dyDescent="0.25">
      <c r="A113" s="10" t="s">
        <v>798</v>
      </c>
      <c r="B113" s="26"/>
      <c r="C113" s="12"/>
      <c r="D113" s="20"/>
      <c r="E113" s="20"/>
      <c r="F113" s="20"/>
    </row>
    <row r="114" spans="1:6" x14ac:dyDescent="0.25">
      <c r="A114" s="11"/>
      <c r="B114" s="26"/>
      <c r="C114" s="12">
        <f>-3.5-102</f>
        <v>-105.5</v>
      </c>
      <c r="D114" s="20"/>
      <c r="E114" s="20"/>
      <c r="F114" s="20"/>
    </row>
    <row r="115" spans="1:6" x14ac:dyDescent="0.25">
      <c r="A115" s="11"/>
      <c r="B115" s="26"/>
      <c r="C115" s="12"/>
      <c r="D115" s="20"/>
      <c r="E115" s="20"/>
      <c r="F115" s="20"/>
    </row>
    <row r="116" spans="1:6" x14ac:dyDescent="0.25">
      <c r="A116" s="11"/>
      <c r="B116" s="26"/>
      <c r="C116" s="12">
        <f>-3-115</f>
        <v>-118</v>
      </c>
      <c r="D116" s="20"/>
      <c r="E116" s="20"/>
      <c r="F116" s="20"/>
    </row>
    <row r="117" spans="1:6" ht="37.5" x14ac:dyDescent="0.25">
      <c r="A117" s="22" t="s">
        <v>17</v>
      </c>
    </row>
    <row r="118" spans="1:6" ht="15.75" thickBot="1" x14ac:dyDescent="0.3">
      <c r="A118" s="3" t="s">
        <v>781</v>
      </c>
      <c r="B118" s="4"/>
      <c r="C118" s="4" t="s">
        <v>8</v>
      </c>
      <c r="D118" s="4" t="s">
        <v>9</v>
      </c>
      <c r="E118" s="4" t="s">
        <v>10</v>
      </c>
      <c r="F118" s="4" t="s">
        <v>11</v>
      </c>
    </row>
    <row r="119" spans="1:6" x14ac:dyDescent="0.25">
      <c r="A119" s="5">
        <v>251</v>
      </c>
      <c r="B119" s="25">
        <v>33</v>
      </c>
      <c r="C119" s="8" t="s">
        <v>301</v>
      </c>
      <c r="D119" s="16">
        <f>1.5-110</f>
        <v>-108.5</v>
      </c>
      <c r="E119" s="16" t="s">
        <v>301</v>
      </c>
      <c r="F119" s="16">
        <v>105</v>
      </c>
    </row>
    <row r="120" spans="1:6" x14ac:dyDescent="0.25">
      <c r="A120" s="6" t="s">
        <v>799</v>
      </c>
      <c r="B120" s="24"/>
      <c r="C120" s="8"/>
      <c r="D120" s="15"/>
      <c r="E120" s="15"/>
      <c r="F120" s="15"/>
    </row>
    <row r="121" spans="1:6" x14ac:dyDescent="0.25">
      <c r="A121" s="7"/>
      <c r="B121" s="24"/>
      <c r="C121" s="8" t="s">
        <v>315</v>
      </c>
      <c r="D121" s="15"/>
      <c r="E121" s="15"/>
      <c r="F121" s="15"/>
    </row>
    <row r="122" spans="1:6" x14ac:dyDescent="0.25">
      <c r="A122" s="7"/>
      <c r="B122" s="24"/>
      <c r="C122" s="8"/>
      <c r="D122" s="15"/>
      <c r="E122" s="15"/>
      <c r="F122" s="15"/>
    </row>
    <row r="123" spans="1:6" x14ac:dyDescent="0.25">
      <c r="A123" s="7"/>
      <c r="B123" s="24"/>
      <c r="C123" s="8" t="s">
        <v>14</v>
      </c>
      <c r="D123" s="15"/>
      <c r="E123" s="15"/>
      <c r="F123" s="15"/>
    </row>
    <row r="124" spans="1:6" x14ac:dyDescent="0.25">
      <c r="A124" s="9">
        <v>252</v>
      </c>
      <c r="B124" s="26">
        <v>27</v>
      </c>
      <c r="C124" s="12">
        <f>-1.5-110</f>
        <v>-111.5</v>
      </c>
      <c r="D124" s="20">
        <f>-1.5-110</f>
        <v>-111.5</v>
      </c>
      <c r="E124" s="20" t="s">
        <v>155</v>
      </c>
      <c r="F124" s="20">
        <v>-125</v>
      </c>
    </row>
    <row r="125" spans="1:6" x14ac:dyDescent="0.25">
      <c r="A125" s="10" t="s">
        <v>800</v>
      </c>
      <c r="B125" s="26"/>
      <c r="C125" s="12"/>
      <c r="D125" s="20"/>
      <c r="E125" s="20"/>
      <c r="F125" s="20"/>
    </row>
    <row r="126" spans="1:6" x14ac:dyDescent="0.25">
      <c r="A126" s="11"/>
      <c r="B126" s="26"/>
      <c r="C126" s="12">
        <f>-1.5-110</f>
        <v>-111.5</v>
      </c>
      <c r="D126" s="20"/>
      <c r="E126" s="20"/>
      <c r="F126" s="20"/>
    </row>
    <row r="127" spans="1:6" x14ac:dyDescent="0.25">
      <c r="A127" s="11"/>
      <c r="B127" s="26"/>
      <c r="C127" s="12"/>
      <c r="D127" s="20"/>
      <c r="E127" s="20"/>
      <c r="F127" s="20"/>
    </row>
    <row r="128" spans="1:6" x14ac:dyDescent="0.25">
      <c r="A128" s="11"/>
      <c r="B128" s="26"/>
      <c r="C128" s="12">
        <f>-1.5-110</f>
        <v>-111.5</v>
      </c>
      <c r="D128" s="20"/>
      <c r="E128" s="20"/>
      <c r="F128" s="20"/>
    </row>
    <row r="129" spans="1:6" ht="37.5" x14ac:dyDescent="0.25">
      <c r="A129" s="22" t="s">
        <v>17</v>
      </c>
    </row>
    <row r="130" spans="1:6" ht="15.75" thickBot="1" x14ac:dyDescent="0.3">
      <c r="A130" s="3" t="s">
        <v>801</v>
      </c>
      <c r="B130" s="4"/>
      <c r="C130" s="4" t="s">
        <v>8</v>
      </c>
      <c r="D130" s="4" t="s">
        <v>9</v>
      </c>
      <c r="E130" s="4" t="s">
        <v>10</v>
      </c>
      <c r="F130" s="4" t="s">
        <v>11</v>
      </c>
    </row>
    <row r="131" spans="1:6" x14ac:dyDescent="0.25">
      <c r="A131" s="5">
        <v>269</v>
      </c>
      <c r="B131" s="14">
        <v>22</v>
      </c>
      <c r="C131" s="8" t="s">
        <v>522</v>
      </c>
      <c r="D131" s="16">
        <f>7-110</f>
        <v>-103</v>
      </c>
      <c r="E131" s="16" t="s">
        <v>522</v>
      </c>
      <c r="F131" s="18">
        <v>250</v>
      </c>
    </row>
    <row r="132" spans="1:6" x14ac:dyDescent="0.25">
      <c r="A132" s="6" t="s">
        <v>802</v>
      </c>
      <c r="B132" s="13"/>
      <c r="C132" s="8"/>
      <c r="D132" s="15"/>
      <c r="E132" s="15"/>
      <c r="F132" s="17"/>
    </row>
    <row r="133" spans="1:6" x14ac:dyDescent="0.25">
      <c r="A133" s="7"/>
      <c r="B133" s="13"/>
      <c r="C133" s="8" t="s">
        <v>192</v>
      </c>
      <c r="D133" s="15"/>
      <c r="E133" s="15"/>
      <c r="F133" s="17"/>
    </row>
    <row r="134" spans="1:6" x14ac:dyDescent="0.25">
      <c r="A134" s="7"/>
      <c r="B134" s="13"/>
      <c r="C134" s="8"/>
      <c r="D134" s="15"/>
      <c r="E134" s="15"/>
      <c r="F134" s="17"/>
    </row>
    <row r="135" spans="1:6" x14ac:dyDescent="0.25">
      <c r="A135" s="7"/>
      <c r="B135" s="13"/>
      <c r="C135" s="8" t="s">
        <v>195</v>
      </c>
      <c r="D135" s="15"/>
      <c r="E135" s="15"/>
      <c r="F135" s="17"/>
    </row>
    <row r="136" spans="1:6" x14ac:dyDescent="0.25">
      <c r="A136" s="9">
        <v>270</v>
      </c>
      <c r="B136" s="19">
        <v>27</v>
      </c>
      <c r="C136" s="12">
        <f>-7-110</f>
        <v>-117</v>
      </c>
      <c r="D136" s="20">
        <f>-7-110</f>
        <v>-117</v>
      </c>
      <c r="E136" s="20" t="s">
        <v>417</v>
      </c>
      <c r="F136" s="21">
        <v>-310</v>
      </c>
    </row>
    <row r="137" spans="1:6" x14ac:dyDescent="0.25">
      <c r="A137" s="10" t="s">
        <v>803</v>
      </c>
      <c r="B137" s="19"/>
      <c r="C137" s="12"/>
      <c r="D137" s="20"/>
      <c r="E137" s="20"/>
      <c r="F137" s="21"/>
    </row>
    <row r="138" spans="1:6" x14ac:dyDescent="0.25">
      <c r="A138" s="11"/>
      <c r="B138" s="19"/>
      <c r="C138" s="12">
        <f>-7-110</f>
        <v>-117</v>
      </c>
      <c r="D138" s="20"/>
      <c r="E138" s="20"/>
      <c r="F138" s="21"/>
    </row>
    <row r="139" spans="1:6" x14ac:dyDescent="0.25">
      <c r="A139" s="11"/>
      <c r="B139" s="19"/>
      <c r="C139" s="12"/>
      <c r="D139" s="20"/>
      <c r="E139" s="20"/>
      <c r="F139" s="21"/>
    </row>
    <row r="140" spans="1:6" x14ac:dyDescent="0.25">
      <c r="A140" s="11"/>
      <c r="B140" s="19"/>
      <c r="C140" s="12">
        <f>-7-110</f>
        <v>-117</v>
      </c>
      <c r="D140" s="20"/>
      <c r="E140" s="20"/>
      <c r="F140" s="21"/>
    </row>
    <row r="141" spans="1:6" ht="37.5" x14ac:dyDescent="0.25">
      <c r="A141" s="22" t="s">
        <v>17</v>
      </c>
    </row>
    <row r="142" spans="1:6" ht="15.75" thickBot="1" x14ac:dyDescent="0.3">
      <c r="A142" s="3" t="s">
        <v>801</v>
      </c>
      <c r="B142" s="4"/>
      <c r="C142" s="4" t="s">
        <v>8</v>
      </c>
      <c r="D142" s="4" t="s">
        <v>9</v>
      </c>
      <c r="E142" s="4" t="s">
        <v>10</v>
      </c>
      <c r="F142" s="4" t="s">
        <v>11</v>
      </c>
    </row>
    <row r="143" spans="1:6" x14ac:dyDescent="0.25">
      <c r="A143" s="5">
        <v>271</v>
      </c>
      <c r="B143" s="14">
        <v>28</v>
      </c>
      <c r="C143" s="8">
        <f>-2.5-102</f>
        <v>-104.5</v>
      </c>
      <c r="D143" s="18">
        <f>-1.5-115</f>
        <v>-116.5</v>
      </c>
      <c r="E143" s="16" t="s">
        <v>39</v>
      </c>
      <c r="F143" s="18">
        <v>-125</v>
      </c>
    </row>
    <row r="144" spans="1:6" x14ac:dyDescent="0.25">
      <c r="A144" s="6" t="s">
        <v>804</v>
      </c>
      <c r="B144" s="13"/>
      <c r="C144" s="8"/>
      <c r="D144" s="17"/>
      <c r="E144" s="15"/>
      <c r="F144" s="17"/>
    </row>
    <row r="145" spans="1:6" x14ac:dyDescent="0.25">
      <c r="A145" s="7"/>
      <c r="B145" s="13"/>
      <c r="C145" s="8">
        <f>-2.5-105</f>
        <v>-107.5</v>
      </c>
      <c r="D145" s="17"/>
      <c r="E145" s="15"/>
      <c r="F145" s="17"/>
    </row>
    <row r="146" spans="1:6" x14ac:dyDescent="0.25">
      <c r="A146" s="7"/>
      <c r="B146" s="13"/>
      <c r="C146" s="8"/>
      <c r="D146" s="17"/>
      <c r="E146" s="15"/>
      <c r="F146" s="17"/>
    </row>
    <row r="147" spans="1:6" x14ac:dyDescent="0.25">
      <c r="A147" s="7"/>
      <c r="B147" s="13"/>
      <c r="C147" s="8">
        <f>-1.5-115</f>
        <v>-116.5</v>
      </c>
      <c r="D147" s="17"/>
      <c r="E147" s="15"/>
      <c r="F147" s="17"/>
    </row>
    <row r="148" spans="1:6" x14ac:dyDescent="0.25">
      <c r="A148" s="9">
        <v>272</v>
      </c>
      <c r="B148" s="19">
        <v>29</v>
      </c>
      <c r="C148" s="12" t="s">
        <v>39</v>
      </c>
      <c r="D148" s="21">
        <f>1.5-105</f>
        <v>-103.5</v>
      </c>
      <c r="E148" s="20" t="s">
        <v>425</v>
      </c>
      <c r="F148" s="21">
        <v>105</v>
      </c>
    </row>
    <row r="149" spans="1:6" x14ac:dyDescent="0.25">
      <c r="A149" s="10" t="s">
        <v>805</v>
      </c>
      <c r="B149" s="19"/>
      <c r="C149" s="12"/>
      <c r="D149" s="21"/>
      <c r="E149" s="20"/>
      <c r="F149" s="21"/>
    </row>
    <row r="150" spans="1:6" x14ac:dyDescent="0.25">
      <c r="A150" s="11"/>
      <c r="B150" s="19"/>
      <c r="C150" s="12" t="s">
        <v>39</v>
      </c>
      <c r="D150" s="21"/>
      <c r="E150" s="20"/>
      <c r="F150" s="21"/>
    </row>
    <row r="151" spans="1:6" x14ac:dyDescent="0.25">
      <c r="A151" s="11"/>
      <c r="B151" s="19"/>
      <c r="C151" s="12"/>
      <c r="D151" s="21"/>
      <c r="E151" s="20"/>
      <c r="F151" s="21"/>
    </row>
    <row r="152" spans="1:6" x14ac:dyDescent="0.25">
      <c r="A152" s="11"/>
      <c r="B152" s="19"/>
      <c r="C152" s="12" t="s">
        <v>39</v>
      </c>
      <c r="D152" s="21"/>
      <c r="E152" s="20"/>
      <c r="F152" s="21"/>
    </row>
    <row r="153" spans="1:6" ht="37.5" x14ac:dyDescent="0.25">
      <c r="A153" s="22" t="s">
        <v>17</v>
      </c>
    </row>
    <row r="154" spans="1:6" ht="15.75" thickBot="1" x14ac:dyDescent="0.3">
      <c r="A154" s="3" t="s">
        <v>806</v>
      </c>
      <c r="B154" s="4"/>
      <c r="C154" s="4" t="s">
        <v>8</v>
      </c>
      <c r="D154" s="4" t="s">
        <v>9</v>
      </c>
      <c r="E154" s="4" t="s">
        <v>10</v>
      </c>
      <c r="F154" s="4" t="s">
        <v>11</v>
      </c>
    </row>
    <row r="155" spans="1:6" x14ac:dyDescent="0.25">
      <c r="A155" s="5">
        <v>273</v>
      </c>
      <c r="B155" s="25">
        <v>20</v>
      </c>
      <c r="C155" s="8">
        <f>-1.5-115</f>
        <v>-116.5</v>
      </c>
      <c r="D155" s="16">
        <f>-1.5-115</f>
        <v>-116.5</v>
      </c>
      <c r="E155" s="18" t="s">
        <v>808</v>
      </c>
      <c r="F155" s="16">
        <v>-130</v>
      </c>
    </row>
    <row r="156" spans="1:6" x14ac:dyDescent="0.25">
      <c r="A156" s="6" t="s">
        <v>807</v>
      </c>
      <c r="B156" s="24"/>
      <c r="C156" s="8"/>
      <c r="D156" s="15"/>
      <c r="E156" s="17"/>
      <c r="F156" s="15"/>
    </row>
    <row r="157" spans="1:6" x14ac:dyDescent="0.25">
      <c r="A157" s="7"/>
      <c r="B157" s="24"/>
      <c r="C157" s="8">
        <f>-1.5-108</f>
        <v>-109.5</v>
      </c>
      <c r="D157" s="15"/>
      <c r="E157" s="17"/>
      <c r="F157" s="15"/>
    </row>
    <row r="158" spans="1:6" x14ac:dyDescent="0.25">
      <c r="A158" s="7"/>
      <c r="B158" s="24"/>
      <c r="C158" s="8"/>
      <c r="D158" s="15"/>
      <c r="E158" s="17"/>
      <c r="F158" s="15"/>
    </row>
    <row r="159" spans="1:6" x14ac:dyDescent="0.25">
      <c r="A159" s="7"/>
      <c r="B159" s="24"/>
      <c r="C159" s="8">
        <f>-1.5-108</f>
        <v>-109.5</v>
      </c>
      <c r="D159" s="15"/>
      <c r="E159" s="17"/>
      <c r="F159" s="15"/>
    </row>
    <row r="160" spans="1:6" x14ac:dyDescent="0.25">
      <c r="A160" s="9">
        <v>274</v>
      </c>
      <c r="B160" s="26">
        <v>17</v>
      </c>
      <c r="C160" s="12" t="s">
        <v>810</v>
      </c>
      <c r="D160" s="20">
        <f>1.5-105</f>
        <v>-103.5</v>
      </c>
      <c r="E160" s="21" t="s">
        <v>810</v>
      </c>
      <c r="F160" s="20">
        <v>110</v>
      </c>
    </row>
    <row r="161" spans="1:6" x14ac:dyDescent="0.25">
      <c r="A161" s="10" t="s">
        <v>809</v>
      </c>
      <c r="B161" s="26"/>
      <c r="C161" s="12"/>
      <c r="D161" s="20"/>
      <c r="E161" s="21"/>
      <c r="F161" s="20"/>
    </row>
    <row r="162" spans="1:6" x14ac:dyDescent="0.25">
      <c r="A162" s="11"/>
      <c r="B162" s="26"/>
      <c r="C162" s="12" t="s">
        <v>810</v>
      </c>
      <c r="D162" s="20"/>
      <c r="E162" s="21"/>
      <c r="F162" s="20"/>
    </row>
    <row r="163" spans="1:6" x14ac:dyDescent="0.25">
      <c r="A163" s="11"/>
      <c r="B163" s="26"/>
      <c r="C163" s="12"/>
      <c r="D163" s="20"/>
      <c r="E163" s="21"/>
      <c r="F163" s="20"/>
    </row>
    <row r="164" spans="1:6" x14ac:dyDescent="0.25">
      <c r="A164" s="11"/>
      <c r="B164" s="26"/>
      <c r="C164" s="12" t="s">
        <v>430</v>
      </c>
      <c r="D164" s="20"/>
      <c r="E164" s="21"/>
      <c r="F164" s="20"/>
    </row>
    <row r="165" spans="1:6" ht="37.5" x14ac:dyDescent="0.25">
      <c r="A165" s="22" t="s">
        <v>17</v>
      </c>
    </row>
    <row r="166" spans="1:6" ht="15.75" thickBot="1" x14ac:dyDescent="0.3">
      <c r="A166" s="3" t="s">
        <v>811</v>
      </c>
      <c r="B166" s="4"/>
      <c r="C166" s="4" t="s">
        <v>8</v>
      </c>
      <c r="D166" s="4" t="s">
        <v>9</v>
      </c>
      <c r="E166" s="4" t="s">
        <v>10</v>
      </c>
      <c r="F166" s="4" t="s">
        <v>11</v>
      </c>
    </row>
    <row r="167" spans="1:6" x14ac:dyDescent="0.25">
      <c r="A167" s="5">
        <v>275</v>
      </c>
      <c r="B167" s="25">
        <v>22</v>
      </c>
      <c r="C167" s="8" t="s">
        <v>192</v>
      </c>
      <c r="D167" s="16">
        <f>3.5-118</f>
        <v>-114.5</v>
      </c>
      <c r="E167" s="18" t="s">
        <v>192</v>
      </c>
      <c r="F167" s="16">
        <v>154</v>
      </c>
    </row>
    <row r="168" spans="1:6" x14ac:dyDescent="0.25">
      <c r="A168" s="6" t="s">
        <v>812</v>
      </c>
      <c r="B168" s="24"/>
      <c r="C168" s="8"/>
      <c r="D168" s="15"/>
      <c r="E168" s="17"/>
      <c r="F168" s="15"/>
    </row>
    <row r="169" spans="1:6" x14ac:dyDescent="0.25">
      <c r="A169" s="7"/>
      <c r="B169" s="24"/>
      <c r="C169" s="8" t="s">
        <v>192</v>
      </c>
      <c r="D169" s="15"/>
      <c r="E169" s="17"/>
      <c r="F169" s="15"/>
    </row>
    <row r="170" spans="1:6" x14ac:dyDescent="0.25">
      <c r="A170" s="7"/>
      <c r="B170" s="24"/>
      <c r="C170" s="8"/>
      <c r="D170" s="15"/>
      <c r="E170" s="17"/>
      <c r="F170" s="15"/>
    </row>
    <row r="171" spans="1:6" x14ac:dyDescent="0.25">
      <c r="A171" s="7"/>
      <c r="B171" s="24"/>
      <c r="C171" s="8" t="s">
        <v>192</v>
      </c>
      <c r="D171" s="15"/>
      <c r="E171" s="17"/>
      <c r="F171" s="15"/>
    </row>
    <row r="172" spans="1:6" x14ac:dyDescent="0.25">
      <c r="A172" s="9">
        <v>276</v>
      </c>
      <c r="B172" s="26">
        <v>6</v>
      </c>
      <c r="C172" s="12">
        <f>-3.5-102</f>
        <v>-105.5</v>
      </c>
      <c r="D172" s="20">
        <f>-3.5-102</f>
        <v>-105.5</v>
      </c>
      <c r="E172" s="21" t="s">
        <v>108</v>
      </c>
      <c r="F172" s="20">
        <v>-185</v>
      </c>
    </row>
    <row r="173" spans="1:6" x14ac:dyDescent="0.25">
      <c r="A173" s="10" t="s">
        <v>813</v>
      </c>
      <c r="B173" s="26"/>
      <c r="C173" s="12"/>
      <c r="D173" s="20"/>
      <c r="E173" s="21"/>
      <c r="F173" s="20"/>
    </row>
    <row r="174" spans="1:6" x14ac:dyDescent="0.25">
      <c r="A174" s="11"/>
      <c r="B174" s="26"/>
      <c r="C174" s="12">
        <f>-3.5-108</f>
        <v>-111.5</v>
      </c>
      <c r="D174" s="20"/>
      <c r="E174" s="21"/>
      <c r="F174" s="20"/>
    </row>
    <row r="175" spans="1:6" x14ac:dyDescent="0.25">
      <c r="A175" s="11"/>
      <c r="B175" s="26"/>
      <c r="C175" s="12"/>
      <c r="D175" s="20"/>
      <c r="E175" s="21"/>
      <c r="F175" s="20"/>
    </row>
    <row r="176" spans="1:6" x14ac:dyDescent="0.25">
      <c r="A176" s="11"/>
      <c r="B176" s="26"/>
      <c r="C176" s="12">
        <f>-3.5-105</f>
        <v>-108.5</v>
      </c>
      <c r="D176" s="20"/>
      <c r="E176" s="21"/>
      <c r="F176" s="20"/>
    </row>
    <row r="177" spans="1:6" ht="38.25" thickBot="1" x14ac:dyDescent="0.3">
      <c r="A177" s="22" t="s">
        <v>17</v>
      </c>
    </row>
    <row r="178" spans="1:6" ht="45" x14ac:dyDescent="0.25">
      <c r="A178" s="27" t="s">
        <v>709</v>
      </c>
    </row>
    <row r="179" spans="1:6" ht="15.75" thickBot="1" x14ac:dyDescent="0.3">
      <c r="A179" s="3" t="s">
        <v>814</v>
      </c>
      <c r="B179" s="4"/>
      <c r="C179" s="4" t="s">
        <v>8</v>
      </c>
      <c r="D179" s="4" t="s">
        <v>9</v>
      </c>
      <c r="E179" s="4" t="s">
        <v>10</v>
      </c>
      <c r="F179" s="4" t="s">
        <v>11</v>
      </c>
    </row>
    <row r="180" spans="1:6" x14ac:dyDescent="0.25">
      <c r="A180" s="5">
        <v>277</v>
      </c>
      <c r="B180" s="25">
        <v>20</v>
      </c>
      <c r="C180" s="8" t="s">
        <v>301</v>
      </c>
      <c r="D180" s="16">
        <f>2.5-110</f>
        <v>-107.5</v>
      </c>
      <c r="E180" s="18" t="s">
        <v>301</v>
      </c>
      <c r="F180" s="16">
        <v>114</v>
      </c>
    </row>
    <row r="181" spans="1:6" x14ac:dyDescent="0.25">
      <c r="A181" s="6" t="s">
        <v>815</v>
      </c>
      <c r="B181" s="24"/>
      <c r="C181" s="8"/>
      <c r="D181" s="15"/>
      <c r="E181" s="17"/>
      <c r="F181" s="15"/>
    </row>
    <row r="182" spans="1:6" x14ac:dyDescent="0.25">
      <c r="A182" s="7"/>
      <c r="B182" s="24"/>
      <c r="C182" s="8" t="s">
        <v>301</v>
      </c>
      <c r="D182" s="15"/>
      <c r="E182" s="17"/>
      <c r="F182" s="15"/>
    </row>
    <row r="183" spans="1:6" x14ac:dyDescent="0.25">
      <c r="A183" s="7"/>
      <c r="B183" s="24"/>
      <c r="C183" s="8"/>
      <c r="D183" s="15"/>
      <c r="E183" s="17"/>
      <c r="F183" s="15"/>
    </row>
    <row r="184" spans="1:6" x14ac:dyDescent="0.25">
      <c r="A184" s="7"/>
      <c r="B184" s="24"/>
      <c r="C184" s="8" t="s">
        <v>301</v>
      </c>
      <c r="D184" s="15"/>
      <c r="E184" s="17"/>
      <c r="F184" s="15"/>
    </row>
    <row r="185" spans="1:6" x14ac:dyDescent="0.25">
      <c r="A185" s="9">
        <v>278</v>
      </c>
      <c r="B185" s="26">
        <v>19</v>
      </c>
      <c r="C185" s="12">
        <f>-2.5-110</f>
        <v>-112.5</v>
      </c>
      <c r="D185" s="20">
        <f>-2.5-110</f>
        <v>-112.5</v>
      </c>
      <c r="E185" s="21" t="s">
        <v>155</v>
      </c>
      <c r="F185" s="20">
        <v>-135</v>
      </c>
    </row>
    <row r="186" spans="1:6" x14ac:dyDescent="0.25">
      <c r="A186" s="10" t="s">
        <v>816</v>
      </c>
      <c r="B186" s="26"/>
      <c r="C186" s="12"/>
      <c r="D186" s="20"/>
      <c r="E186" s="21"/>
      <c r="F186" s="20"/>
    </row>
    <row r="187" spans="1:6" x14ac:dyDescent="0.25">
      <c r="A187" s="11"/>
      <c r="B187" s="26"/>
      <c r="C187" s="12">
        <f>-2.5-110</f>
        <v>-112.5</v>
      </c>
      <c r="D187" s="20"/>
      <c r="E187" s="21"/>
      <c r="F187" s="20"/>
    </row>
    <row r="188" spans="1:6" x14ac:dyDescent="0.25">
      <c r="A188" s="11"/>
      <c r="B188" s="26"/>
      <c r="C188" s="12"/>
      <c r="D188" s="20"/>
      <c r="E188" s="21"/>
      <c r="F188" s="20"/>
    </row>
    <row r="189" spans="1:6" x14ac:dyDescent="0.25">
      <c r="A189" s="11"/>
      <c r="B189" s="26"/>
      <c r="C189" s="12">
        <f>-2.5-115</f>
        <v>-117.5</v>
      </c>
      <c r="D189" s="20"/>
      <c r="E189" s="21"/>
      <c r="F189" s="20"/>
    </row>
    <row r="190" spans="1:6" ht="38.25" thickBot="1" x14ac:dyDescent="0.3">
      <c r="A190" s="22" t="s">
        <v>17</v>
      </c>
    </row>
    <row r="191" spans="1:6" ht="45" x14ac:dyDescent="0.25">
      <c r="A191" s="27" t="s">
        <v>667</v>
      </c>
    </row>
    <row r="192" spans="1:6" ht="15.75" thickBot="1" x14ac:dyDescent="0.3">
      <c r="A192" s="3" t="s">
        <v>817</v>
      </c>
      <c r="B192" s="4"/>
      <c r="C192" s="4" t="s">
        <v>8</v>
      </c>
      <c r="D192" s="4" t="s">
        <v>9</v>
      </c>
      <c r="E192" s="4" t="s">
        <v>10</v>
      </c>
      <c r="F192" s="4" t="s">
        <v>11</v>
      </c>
    </row>
    <row r="193" spans="1:6" x14ac:dyDescent="0.25">
      <c r="A193" s="5">
        <v>279</v>
      </c>
      <c r="B193" s="25">
        <v>20</v>
      </c>
      <c r="C193" s="8">
        <f>-3.5-105</f>
        <v>-108.5</v>
      </c>
      <c r="D193" s="16">
        <f>-3.5-105</f>
        <v>-108.5</v>
      </c>
      <c r="E193" s="18" t="s">
        <v>808</v>
      </c>
      <c r="F193" s="16">
        <v>-198</v>
      </c>
    </row>
    <row r="194" spans="1:6" x14ac:dyDescent="0.25">
      <c r="A194" s="6" t="s">
        <v>818</v>
      </c>
      <c r="B194" s="24"/>
      <c r="C194" s="8"/>
      <c r="D194" s="15"/>
      <c r="E194" s="17"/>
      <c r="F194" s="15"/>
    </row>
    <row r="195" spans="1:6" x14ac:dyDescent="0.25">
      <c r="A195" s="7"/>
      <c r="B195" s="24"/>
      <c r="C195" s="8">
        <f>-3-122</f>
        <v>-125</v>
      </c>
      <c r="D195" s="15"/>
      <c r="E195" s="17"/>
      <c r="F195" s="15"/>
    </row>
    <row r="196" spans="1:6" x14ac:dyDescent="0.25">
      <c r="A196" s="7"/>
      <c r="B196" s="24"/>
      <c r="C196" s="8"/>
      <c r="D196" s="15"/>
      <c r="E196" s="17"/>
      <c r="F196" s="15"/>
    </row>
    <row r="197" spans="1:6" x14ac:dyDescent="0.25">
      <c r="A197" s="7"/>
      <c r="B197" s="24"/>
      <c r="C197" s="8">
        <f>-3.5-105</f>
        <v>-108.5</v>
      </c>
      <c r="D197" s="15"/>
      <c r="E197" s="17"/>
      <c r="F197" s="15"/>
    </row>
    <row r="198" spans="1:6" x14ac:dyDescent="0.25">
      <c r="A198" s="9">
        <v>280</v>
      </c>
      <c r="B198" s="26">
        <v>9</v>
      </c>
      <c r="C198" s="12" t="s">
        <v>810</v>
      </c>
      <c r="D198" s="20">
        <f>3.5-115</f>
        <v>-111.5</v>
      </c>
      <c r="E198" s="21" t="s">
        <v>810</v>
      </c>
      <c r="F198" s="20">
        <v>164</v>
      </c>
    </row>
    <row r="199" spans="1:6" x14ac:dyDescent="0.25">
      <c r="A199" s="10" t="s">
        <v>819</v>
      </c>
      <c r="B199" s="26"/>
      <c r="C199" s="12"/>
      <c r="D199" s="20"/>
      <c r="E199" s="21"/>
      <c r="F199" s="20"/>
    </row>
    <row r="200" spans="1:6" x14ac:dyDescent="0.25">
      <c r="A200" s="11"/>
      <c r="B200" s="26"/>
      <c r="C200" s="12" t="s">
        <v>810</v>
      </c>
      <c r="D200" s="20"/>
      <c r="E200" s="21"/>
      <c r="F200" s="20"/>
    </row>
    <row r="201" spans="1:6" x14ac:dyDescent="0.25">
      <c r="A201" s="11"/>
      <c r="B201" s="26"/>
      <c r="C201" s="12"/>
      <c r="D201" s="20"/>
      <c r="E201" s="21"/>
      <c r="F201" s="20"/>
    </row>
    <row r="202" spans="1:6" x14ac:dyDescent="0.25">
      <c r="A202" s="11"/>
      <c r="B202" s="26"/>
      <c r="C202" s="12" t="s">
        <v>810</v>
      </c>
      <c r="D202" s="20"/>
      <c r="E202" s="21"/>
      <c r="F202" s="20"/>
    </row>
  </sheetData>
  <mergeCells count="128">
    <mergeCell ref="B193:B197"/>
    <mergeCell ref="D193:D197"/>
    <mergeCell ref="E193:E197"/>
    <mergeCell ref="F193:F197"/>
    <mergeCell ref="B198:B202"/>
    <mergeCell ref="D198:D202"/>
    <mergeCell ref="E198:E202"/>
    <mergeCell ref="F198:F202"/>
    <mergeCell ref="B180:B184"/>
    <mergeCell ref="D180:D184"/>
    <mergeCell ref="E180:E184"/>
    <mergeCell ref="F180:F184"/>
    <mergeCell ref="B185:B189"/>
    <mergeCell ref="D185:D189"/>
    <mergeCell ref="E185:E189"/>
    <mergeCell ref="F185:F189"/>
    <mergeCell ref="B167:B171"/>
    <mergeCell ref="D167:D171"/>
    <mergeCell ref="E167:E171"/>
    <mergeCell ref="F167:F171"/>
    <mergeCell ref="B172:B176"/>
    <mergeCell ref="D172:D176"/>
    <mergeCell ref="E172:E176"/>
    <mergeCell ref="F172:F176"/>
    <mergeCell ref="B155:B159"/>
    <mergeCell ref="D155:D159"/>
    <mergeCell ref="E155:E159"/>
    <mergeCell ref="F155:F159"/>
    <mergeCell ref="B160:B164"/>
    <mergeCell ref="D160:D164"/>
    <mergeCell ref="E160:E164"/>
    <mergeCell ref="F160:F164"/>
    <mergeCell ref="B143:B147"/>
    <mergeCell ref="D143:D147"/>
    <mergeCell ref="E143:E147"/>
    <mergeCell ref="F143:F147"/>
    <mergeCell ref="B148:B152"/>
    <mergeCell ref="D148:D152"/>
    <mergeCell ref="E148:E152"/>
    <mergeCell ref="F148:F152"/>
    <mergeCell ref="B131:B135"/>
    <mergeCell ref="D131:D135"/>
    <mergeCell ref="E131:E135"/>
    <mergeCell ref="F131:F135"/>
    <mergeCell ref="B136:B140"/>
    <mergeCell ref="D136:D140"/>
    <mergeCell ref="E136:E140"/>
    <mergeCell ref="F136:F140"/>
    <mergeCell ref="B119:B123"/>
    <mergeCell ref="D119:D123"/>
    <mergeCell ref="E119:E123"/>
    <mergeCell ref="F119:F123"/>
    <mergeCell ref="B124:B128"/>
    <mergeCell ref="D124:D128"/>
    <mergeCell ref="E124:E128"/>
    <mergeCell ref="F124:F128"/>
    <mergeCell ref="B107:B111"/>
    <mergeCell ref="D107:D111"/>
    <mergeCell ref="E107:E111"/>
    <mergeCell ref="F107:F111"/>
    <mergeCell ref="B112:B116"/>
    <mergeCell ref="D112:D116"/>
    <mergeCell ref="E112:E116"/>
    <mergeCell ref="F112:F116"/>
    <mergeCell ref="B95:B99"/>
    <mergeCell ref="D95:D99"/>
    <mergeCell ref="E95:E99"/>
    <mergeCell ref="F95:F99"/>
    <mergeCell ref="B100:B104"/>
    <mergeCell ref="D100:D104"/>
    <mergeCell ref="E100:E104"/>
    <mergeCell ref="F100:F104"/>
    <mergeCell ref="B83:B87"/>
    <mergeCell ref="D83:D87"/>
    <mergeCell ref="E83:E87"/>
    <mergeCell ref="F83:F87"/>
    <mergeCell ref="B88:B92"/>
    <mergeCell ref="D88:D92"/>
    <mergeCell ref="E88:E92"/>
    <mergeCell ref="F88:F92"/>
    <mergeCell ref="B71:B75"/>
    <mergeCell ref="D71:D75"/>
    <mergeCell ref="E71:E75"/>
    <mergeCell ref="F71:F75"/>
    <mergeCell ref="B76:B80"/>
    <mergeCell ref="D76:D80"/>
    <mergeCell ref="E76:E80"/>
    <mergeCell ref="F76:F80"/>
    <mergeCell ref="B59:B63"/>
    <mergeCell ref="D59:D63"/>
    <mergeCell ref="E59:E63"/>
    <mergeCell ref="F59:F63"/>
    <mergeCell ref="B64:B68"/>
    <mergeCell ref="D64:D68"/>
    <mergeCell ref="E64:E68"/>
    <mergeCell ref="F64:F68"/>
    <mergeCell ref="B47:B51"/>
    <mergeCell ref="D47:D51"/>
    <mergeCell ref="E47:E51"/>
    <mergeCell ref="F47:F51"/>
    <mergeCell ref="B52:B56"/>
    <mergeCell ref="D52:D56"/>
    <mergeCell ref="E52:E56"/>
    <mergeCell ref="F52:F56"/>
    <mergeCell ref="B35:B39"/>
    <mergeCell ref="D35:D39"/>
    <mergeCell ref="E35:E39"/>
    <mergeCell ref="F35:F39"/>
    <mergeCell ref="B40:B44"/>
    <mergeCell ref="D40:D44"/>
    <mergeCell ref="E40:E44"/>
    <mergeCell ref="F40:F44"/>
    <mergeCell ref="B23:B27"/>
    <mergeCell ref="D23:D27"/>
    <mergeCell ref="E23:E27"/>
    <mergeCell ref="F23:F27"/>
    <mergeCell ref="B28:B32"/>
    <mergeCell ref="D28:D32"/>
    <mergeCell ref="E28:E32"/>
    <mergeCell ref="F28:F32"/>
    <mergeCell ref="B9:B13"/>
    <mergeCell ref="D9:D13"/>
    <mergeCell ref="E9:E13"/>
    <mergeCell ref="F9:F13"/>
    <mergeCell ref="B14:B18"/>
    <mergeCell ref="D14:D18"/>
    <mergeCell ref="E14:E18"/>
    <mergeCell ref="F14:F18"/>
  </mergeCells>
  <hyperlinks>
    <hyperlink ref="A2" r:id="rId1" display="https://www.scoresandodds.com/nfl/odds" xr:uid="{72A03B89-178D-4E16-A6DF-834426FEA28D}"/>
    <hyperlink ref="A3" r:id="rId2" display="https://www.scoresandodds.com/nfl/consensus-picks" xr:uid="{B583F2C2-CB90-4E70-BEBC-498951D70A00}"/>
    <hyperlink ref="A4" r:id="rId3" display="https://www.scoresandodds.com/nfl/more-lines" xr:uid="{6BE28CA0-2AD3-43FB-A33F-3E09B3BBCCDD}"/>
    <hyperlink ref="A5" r:id="rId4" display="https://www.scoresandodds.com/nfl/props" xr:uid="{E1AAAA47-5F3A-4DF3-B804-5D484257E7DE}"/>
    <hyperlink ref="A6" r:id="rId5" display="https://www.scoresandodds.com/nfl/parlays" xr:uid="{383BCE05-07B8-452C-AA42-4F2CDF2C09A4}"/>
    <hyperlink ref="A7" r:id="rId6" display="https://www.scoresandodds.com/nfl/picks" xr:uid="{62769DE1-BC06-4F80-9686-D49D35E1B9A0}"/>
    <hyperlink ref="A10" r:id="rId7" display="https://www.scoresandodds.com/nfl/teams/commanders" xr:uid="{F7A1F7D8-26C1-4E66-8010-FDD9A71DB3E1}"/>
    <hyperlink ref="A15" r:id="rId8" display="https://www.scoresandodds.com/nfl/teams/packers" xr:uid="{CE52A037-1839-46B8-9034-31845BAFD073}"/>
    <hyperlink ref="A24" r:id="rId9" display="https://www.scoresandodds.com/nfl/teams/jaguars" xr:uid="{98079D83-88D1-4E9B-B190-A624F50BBCBC}"/>
    <hyperlink ref="A29" r:id="rId10" display="https://www.scoresandodds.com/nfl/teams/bengals" xr:uid="{9371C20B-3C6E-4CD7-B01D-72D8553A1257}"/>
    <hyperlink ref="A36" r:id="rId11" display="https://www.scoresandodds.com/nfl/teams/49ers" xr:uid="{324106B5-C9D8-42B0-A6A7-89F473E705AA}"/>
    <hyperlink ref="A41" r:id="rId12" display="https://www.scoresandodds.com/nfl/teams/saints" xr:uid="{B0BB95EC-733E-4D6E-B4B3-17B081A7BB95}"/>
    <hyperlink ref="A48" r:id="rId13" display="https://www.scoresandodds.com/nfl/teams/giants" xr:uid="{27BC6C54-FC21-4548-AA18-72C4D40C5B65}"/>
    <hyperlink ref="A53" r:id="rId14" display="https://www.scoresandodds.com/nfl/teams/cowboys" xr:uid="{A242FB27-A1DB-40DE-A891-7A4749B00624}"/>
    <hyperlink ref="A60" r:id="rId15" display="https://www.scoresandodds.com/nfl/teams/bills" xr:uid="{3AFDC112-57B8-4D50-AD59-DCCD1014238A}"/>
    <hyperlink ref="A65" r:id="rId16" display="https://www.scoresandodds.com/nfl/teams/jets" xr:uid="{235636BD-373E-4EF3-B07D-4CFB9F99DA93}"/>
    <hyperlink ref="A72" r:id="rId17" display="https://www.scoresandodds.com/nfl/teams/bears" xr:uid="{8E362957-AB75-4D1A-B080-4033CEA5D5E8}"/>
    <hyperlink ref="A77" r:id="rId18" display="https://www.scoresandodds.com/nfl/teams/lions" xr:uid="{06300AE1-94E8-42A6-909B-800935A36F96}"/>
    <hyperlink ref="A84" r:id="rId19" display="https://www.scoresandodds.com/nfl/teams/browns" xr:uid="{10DA7B20-3880-4022-BFB0-455163642910}"/>
    <hyperlink ref="A89" r:id="rId20" display="https://www.scoresandodds.com/nfl/teams/ravens" xr:uid="{5A5C10FF-91B1-4803-A46D-98A57D83AADF}"/>
    <hyperlink ref="A96" r:id="rId21" display="https://www.scoresandodds.com/nfl/teams/rams" xr:uid="{8C5266F0-4565-460F-9AB3-D5053516A2F2}"/>
    <hyperlink ref="A101" r:id="rId22" display="https://www.scoresandodds.com/nfl/teams/titans" xr:uid="{4B1DA131-2C17-400E-BB56-FF09B2BA6C36}"/>
    <hyperlink ref="A108" r:id="rId23" display="https://www.scoresandodds.com/nfl/teams/seahawks" xr:uid="{16605E01-5F35-4D5E-9BD2-1C793EFE6CBA}"/>
    <hyperlink ref="A113" r:id="rId24" display="https://www.scoresandodds.com/nfl/teams/steelers" xr:uid="{A825ECA6-42A5-437F-8722-08D7F533BA91}"/>
    <hyperlink ref="A120" r:id="rId25" display="https://www.scoresandodds.com/nfl/teams/patriots" xr:uid="{C021018F-9842-4DB5-B35D-E6324AD5B8D2}"/>
    <hyperlink ref="A125" r:id="rId26" display="https://www.scoresandodds.com/nfl/teams/dolphins" xr:uid="{B34B3644-0C60-4E8D-B669-DF62FB1F4064}"/>
    <hyperlink ref="A132" r:id="rId27" display="https://www.scoresandodds.com/nfl/teams/panthers" xr:uid="{3DBF5E21-877A-4698-854A-1563DE269D51}"/>
    <hyperlink ref="A137" r:id="rId28" display="https://www.scoresandodds.com/nfl/teams/cardinals" xr:uid="{68A0FD1A-7210-4618-B89D-9B6D7EB8D96D}"/>
    <hyperlink ref="A144" r:id="rId29" display="https://www.scoresandodds.com/nfl/teams/broncos" xr:uid="{FAC474A9-0583-4063-9A3E-F983BA4EC740}"/>
    <hyperlink ref="A149" r:id="rId30" display="https://www.scoresandodds.com/nfl/teams/colts" xr:uid="{7500A393-E8C6-414C-85F5-6892127DDD7E}"/>
    <hyperlink ref="A156" r:id="rId31" display="https://www.scoresandodds.com/nfl/teams/eagles" xr:uid="{D1587DAF-9661-4EDA-8C0D-1BCF5E2D05E9}"/>
    <hyperlink ref="A161" r:id="rId32" display="https://www.scoresandodds.com/nfl/teams/chiefs" xr:uid="{380BA589-426F-40EC-AEDB-98F1A67EA739}"/>
    <hyperlink ref="A168" r:id="rId33" display="https://www.scoresandodds.com/nfl/teams/falcons" xr:uid="{9B8523D4-F07C-462E-8A7A-A1D9B3664638}"/>
    <hyperlink ref="A173" r:id="rId34" display="https://www.scoresandodds.com/nfl/teams/vikings" xr:uid="{BA4F322F-F73E-42BD-A770-76BFA1CBCCE0}"/>
    <hyperlink ref="A181" r:id="rId35" display="https://www.scoresandodds.com/nfl/teams/buccaneers" xr:uid="{63C350FB-CFB7-44D1-8BDC-25375F9F3A75}"/>
    <hyperlink ref="A186" r:id="rId36" display="https://www.scoresandodds.com/nfl/teams/texans" xr:uid="{2B60CECC-62C9-4FDD-8AAA-68298FB19ED7}"/>
    <hyperlink ref="A194" r:id="rId37" display="https://www.scoresandodds.com/nfl/teams/chargers" xr:uid="{7D5D523F-1603-40AA-B5CC-E3CCF836C803}"/>
    <hyperlink ref="A199" r:id="rId38" display="https://www.scoresandodds.com/nfl/teams/raiders" xr:uid="{12E91593-0151-48FA-98EF-BDCAD0FA9018}"/>
  </hyperlinks>
  <pageMargins left="0.7" right="0.7" top="0.75" bottom="0.75" header="0.3" footer="0.3"/>
  <drawing r:id="rId3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A530-7BA2-4B8B-9D65-C1560B90A902}">
  <dimension ref="A1:F201"/>
  <sheetViews>
    <sheetView workbookViewId="0">
      <selection sqref="A1:F201"/>
    </sheetView>
  </sheetViews>
  <sheetFormatPr baseColWidth="10" defaultRowHeight="15" x14ac:dyDescent="0.25"/>
  <cols>
    <col min="1" max="1" width="70.5703125" bestFit="1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3" spans="1:6" x14ac:dyDescent="0.25">
      <c r="A3" s="2" t="s">
        <v>2</v>
      </c>
    </row>
    <row r="4" spans="1:6" x14ac:dyDescent="0.25">
      <c r="A4" s="2" t="s">
        <v>3</v>
      </c>
    </row>
    <row r="5" spans="1:6" x14ac:dyDescent="0.25">
      <c r="A5" s="2" t="s">
        <v>4</v>
      </c>
    </row>
    <row r="6" spans="1:6" x14ac:dyDescent="0.25">
      <c r="A6" s="2" t="s">
        <v>5</v>
      </c>
    </row>
    <row r="7" spans="1:6" x14ac:dyDescent="0.25">
      <c r="A7" s="2" t="s">
        <v>6</v>
      </c>
    </row>
    <row r="8" spans="1:6" ht="15.75" thickBot="1" x14ac:dyDescent="0.3">
      <c r="A8" s="3" t="s">
        <v>736</v>
      </c>
      <c r="B8" s="4"/>
      <c r="C8" s="4" t="s">
        <v>8</v>
      </c>
      <c r="D8" s="4" t="s">
        <v>9</v>
      </c>
      <c r="E8" s="4" t="s">
        <v>10</v>
      </c>
      <c r="F8" s="4" t="s">
        <v>11</v>
      </c>
    </row>
    <row r="9" spans="1:6" x14ac:dyDescent="0.25">
      <c r="A9" s="5">
        <v>301</v>
      </c>
      <c r="B9" s="14">
        <v>21</v>
      </c>
      <c r="C9" s="8" t="s">
        <v>738</v>
      </c>
      <c r="D9" s="16">
        <f>12.5-110</f>
        <v>-97.5</v>
      </c>
      <c r="E9" s="16" t="s">
        <v>738</v>
      </c>
      <c r="F9" s="18">
        <v>550</v>
      </c>
    </row>
    <row r="10" spans="1:6" x14ac:dyDescent="0.25">
      <c r="A10" s="6" t="s">
        <v>737</v>
      </c>
      <c r="B10" s="13"/>
      <c r="C10" s="8"/>
      <c r="D10" s="15"/>
      <c r="E10" s="15"/>
      <c r="F10" s="17"/>
    </row>
    <row r="11" spans="1:6" x14ac:dyDescent="0.25">
      <c r="A11" s="7"/>
      <c r="B11" s="13"/>
      <c r="C11" s="8" t="s">
        <v>739</v>
      </c>
      <c r="D11" s="15"/>
      <c r="E11" s="15"/>
      <c r="F11" s="17"/>
    </row>
    <row r="12" spans="1:6" x14ac:dyDescent="0.25">
      <c r="A12" s="7"/>
      <c r="B12" s="13"/>
      <c r="C12" s="8"/>
      <c r="D12" s="15"/>
      <c r="E12" s="15"/>
      <c r="F12" s="17"/>
    </row>
    <row r="13" spans="1:6" x14ac:dyDescent="0.25">
      <c r="A13" s="7"/>
      <c r="B13" s="13"/>
      <c r="C13" s="8" t="s">
        <v>445</v>
      </c>
      <c r="D13" s="15"/>
      <c r="E13" s="15"/>
      <c r="F13" s="17"/>
    </row>
    <row r="14" spans="1:6" x14ac:dyDescent="0.25">
      <c r="A14" s="9">
        <v>302</v>
      </c>
      <c r="B14" s="19">
        <v>31</v>
      </c>
      <c r="C14" s="12">
        <f>-12.5-110</f>
        <v>-122.5</v>
      </c>
      <c r="D14" s="20">
        <f>-12.5-110</f>
        <v>-122.5</v>
      </c>
      <c r="E14" s="20" t="s">
        <v>452</v>
      </c>
      <c r="F14" s="21">
        <v>-800</v>
      </c>
    </row>
    <row r="15" spans="1:6" x14ac:dyDescent="0.25">
      <c r="A15" s="10" t="s">
        <v>740</v>
      </c>
      <c r="B15" s="19"/>
      <c r="C15" s="12"/>
      <c r="D15" s="20"/>
      <c r="E15" s="20"/>
      <c r="F15" s="21"/>
    </row>
    <row r="16" spans="1:6" x14ac:dyDescent="0.25">
      <c r="A16" s="11"/>
      <c r="B16" s="19"/>
      <c r="C16" s="12">
        <f>-12.5-110</f>
        <v>-122.5</v>
      </c>
      <c r="D16" s="20"/>
      <c r="E16" s="20"/>
      <c r="F16" s="21"/>
    </row>
    <row r="17" spans="1:6" x14ac:dyDescent="0.25">
      <c r="A17" s="11"/>
      <c r="B17" s="19"/>
      <c r="C17" s="12"/>
      <c r="D17" s="20"/>
      <c r="E17" s="20"/>
      <c r="F17" s="21"/>
    </row>
    <row r="18" spans="1:6" x14ac:dyDescent="0.25">
      <c r="A18" s="11"/>
      <c r="B18" s="19"/>
      <c r="C18" s="12">
        <f>-12.5-110</f>
        <v>-122.5</v>
      </c>
      <c r="D18" s="20"/>
      <c r="E18" s="20"/>
      <c r="F18" s="21"/>
    </row>
    <row r="19" spans="1:6" ht="38.25" thickBot="1" x14ac:dyDescent="0.3">
      <c r="A19" s="22" t="s">
        <v>17</v>
      </c>
    </row>
    <row r="20" spans="1:6" ht="67.5" x14ac:dyDescent="0.25">
      <c r="A20" s="27" t="s">
        <v>116</v>
      </c>
    </row>
    <row r="21" spans="1:6" x14ac:dyDescent="0.25">
      <c r="A21" s="23" t="s">
        <v>102</v>
      </c>
    </row>
    <row r="22" spans="1:6" ht="15.75" thickBot="1" x14ac:dyDescent="0.3">
      <c r="A22" s="3" t="s">
        <v>741</v>
      </c>
      <c r="B22" s="4"/>
      <c r="C22" s="4" t="s">
        <v>8</v>
      </c>
      <c r="D22" s="4" t="s">
        <v>9</v>
      </c>
      <c r="E22" s="4" t="s">
        <v>10</v>
      </c>
      <c r="F22" s="4" t="s">
        <v>11</v>
      </c>
    </row>
    <row r="23" spans="1:6" x14ac:dyDescent="0.25">
      <c r="A23" s="5">
        <v>465</v>
      </c>
      <c r="B23" s="14">
        <v>27</v>
      </c>
      <c r="C23" s="8" t="s">
        <v>315</v>
      </c>
      <c r="D23" s="16">
        <f>6.5-105</f>
        <v>-98.5</v>
      </c>
      <c r="E23" s="16" t="s">
        <v>387</v>
      </c>
      <c r="F23" s="18">
        <v>275</v>
      </c>
    </row>
    <row r="24" spans="1:6" x14ac:dyDescent="0.25">
      <c r="A24" s="6" t="s">
        <v>742</v>
      </c>
      <c r="B24" s="13"/>
      <c r="C24" s="8"/>
      <c r="D24" s="15"/>
      <c r="E24" s="15"/>
      <c r="F24" s="17"/>
    </row>
    <row r="25" spans="1:6" x14ac:dyDescent="0.25">
      <c r="A25" s="7"/>
      <c r="B25" s="13"/>
      <c r="C25" s="8" t="s">
        <v>425</v>
      </c>
      <c r="D25" s="15"/>
      <c r="E25" s="15"/>
      <c r="F25" s="17"/>
    </row>
    <row r="26" spans="1:6" x14ac:dyDescent="0.25">
      <c r="A26" s="7"/>
      <c r="B26" s="13"/>
      <c r="C26" s="8"/>
      <c r="D26" s="15"/>
      <c r="E26" s="15"/>
      <c r="F26" s="17"/>
    </row>
    <row r="27" spans="1:6" x14ac:dyDescent="0.25">
      <c r="A27" s="7"/>
      <c r="B27" s="13"/>
      <c r="C27" s="8" t="s">
        <v>425</v>
      </c>
      <c r="D27" s="15"/>
      <c r="E27" s="15"/>
      <c r="F27" s="17"/>
    </row>
    <row r="28" spans="1:6" x14ac:dyDescent="0.25">
      <c r="A28" s="9">
        <v>466</v>
      </c>
      <c r="B28" s="19">
        <v>29</v>
      </c>
      <c r="C28" s="12">
        <f>-6.5-115</f>
        <v>-121.5</v>
      </c>
      <c r="D28" s="20">
        <f>-6.5-115</f>
        <v>-121.5</v>
      </c>
      <c r="E28" s="20" t="s">
        <v>315</v>
      </c>
      <c r="F28" s="21">
        <v>-325</v>
      </c>
    </row>
    <row r="29" spans="1:6" x14ac:dyDescent="0.25">
      <c r="A29" s="10" t="s">
        <v>743</v>
      </c>
      <c r="B29" s="19"/>
      <c r="C29" s="12"/>
      <c r="D29" s="20"/>
      <c r="E29" s="20"/>
      <c r="F29" s="21"/>
    </row>
    <row r="30" spans="1:6" x14ac:dyDescent="0.25">
      <c r="A30" s="11"/>
      <c r="B30" s="19"/>
      <c r="C30" s="12">
        <f>-6.5-115</f>
        <v>-121.5</v>
      </c>
      <c r="D30" s="20"/>
      <c r="E30" s="20"/>
      <c r="F30" s="21"/>
    </row>
    <row r="31" spans="1:6" x14ac:dyDescent="0.25">
      <c r="A31" s="11"/>
      <c r="B31" s="19"/>
      <c r="C31" s="12"/>
      <c r="D31" s="20"/>
      <c r="E31" s="20"/>
      <c r="F31" s="21"/>
    </row>
    <row r="32" spans="1:6" x14ac:dyDescent="0.25">
      <c r="A32" s="11"/>
      <c r="B32" s="19"/>
      <c r="C32" s="12">
        <f>-6.5-118</f>
        <v>-124.5</v>
      </c>
      <c r="D32" s="20"/>
      <c r="E32" s="20"/>
      <c r="F32" s="21"/>
    </row>
    <row r="33" spans="1:6" ht="37.5" x14ac:dyDescent="0.25">
      <c r="A33" s="22" t="s">
        <v>17</v>
      </c>
    </row>
    <row r="34" spans="1:6" ht="15.75" thickBot="1" x14ac:dyDescent="0.3">
      <c r="A34" s="3" t="s">
        <v>741</v>
      </c>
      <c r="B34" s="4"/>
      <c r="C34" s="4" t="s">
        <v>8</v>
      </c>
      <c r="D34" s="4" t="s">
        <v>9</v>
      </c>
      <c r="E34" s="4" t="s">
        <v>10</v>
      </c>
      <c r="F34" s="4" t="s">
        <v>11</v>
      </c>
    </row>
    <row r="35" spans="1:6" x14ac:dyDescent="0.25">
      <c r="A35" s="5">
        <v>455</v>
      </c>
      <c r="B35" s="14">
        <v>24</v>
      </c>
      <c r="C35" s="8" t="s">
        <v>185</v>
      </c>
      <c r="D35" s="18" t="s">
        <v>26</v>
      </c>
      <c r="E35" s="16" t="s">
        <v>185</v>
      </c>
      <c r="F35" s="18">
        <v>130</v>
      </c>
    </row>
    <row r="36" spans="1:6" x14ac:dyDescent="0.25">
      <c r="A36" s="6" t="s">
        <v>744</v>
      </c>
      <c r="B36" s="13"/>
      <c r="C36" s="8"/>
      <c r="D36" s="17"/>
      <c r="E36" s="15"/>
      <c r="F36" s="17"/>
    </row>
    <row r="37" spans="1:6" x14ac:dyDescent="0.25">
      <c r="A37" s="7"/>
      <c r="B37" s="13"/>
      <c r="C37" s="8" t="s">
        <v>185</v>
      </c>
      <c r="D37" s="17"/>
      <c r="E37" s="15"/>
      <c r="F37" s="17"/>
    </row>
    <row r="38" spans="1:6" x14ac:dyDescent="0.25">
      <c r="A38" s="7"/>
      <c r="B38" s="13"/>
      <c r="C38" s="8"/>
      <c r="D38" s="17"/>
      <c r="E38" s="15"/>
      <c r="F38" s="17"/>
    </row>
    <row r="39" spans="1:6" x14ac:dyDescent="0.25">
      <c r="A39" s="7"/>
      <c r="B39" s="13"/>
      <c r="C39" s="8" t="s">
        <v>185</v>
      </c>
      <c r="D39" s="17"/>
      <c r="E39" s="15"/>
      <c r="F39" s="17"/>
    </row>
    <row r="40" spans="1:6" x14ac:dyDescent="0.25">
      <c r="A40" s="9">
        <v>456</v>
      </c>
      <c r="B40" s="19">
        <v>41</v>
      </c>
      <c r="C40" s="12">
        <f>-2.5-120</f>
        <v>-122.5</v>
      </c>
      <c r="D40" s="21">
        <f>-2.5-120</f>
        <v>-122.5</v>
      </c>
      <c r="E40" s="20" t="s">
        <v>187</v>
      </c>
      <c r="F40" s="21">
        <v>-155</v>
      </c>
    </row>
    <row r="41" spans="1:6" x14ac:dyDescent="0.25">
      <c r="A41" s="10" t="s">
        <v>745</v>
      </c>
      <c r="B41" s="19"/>
      <c r="C41" s="12"/>
      <c r="D41" s="21"/>
      <c r="E41" s="20"/>
      <c r="F41" s="21"/>
    </row>
    <row r="42" spans="1:6" x14ac:dyDescent="0.25">
      <c r="A42" s="11"/>
      <c r="B42" s="19"/>
      <c r="C42" s="12">
        <f>-2.5-120</f>
        <v>-122.5</v>
      </c>
      <c r="D42" s="21"/>
      <c r="E42" s="20"/>
      <c r="F42" s="21"/>
    </row>
    <row r="43" spans="1:6" x14ac:dyDescent="0.25">
      <c r="A43" s="11"/>
      <c r="B43" s="19"/>
      <c r="C43" s="12"/>
      <c r="D43" s="21"/>
      <c r="E43" s="20"/>
      <c r="F43" s="21"/>
    </row>
    <row r="44" spans="1:6" x14ac:dyDescent="0.25">
      <c r="A44" s="11"/>
      <c r="B44" s="19"/>
      <c r="C44" s="12">
        <f>-2.5-120</f>
        <v>-122.5</v>
      </c>
      <c r="D44" s="21"/>
      <c r="E44" s="20"/>
      <c r="F44" s="21"/>
    </row>
    <row r="45" spans="1:6" ht="37.5" x14ac:dyDescent="0.25">
      <c r="A45" s="22" t="s">
        <v>17</v>
      </c>
    </row>
    <row r="46" spans="1:6" ht="15.75" thickBot="1" x14ac:dyDescent="0.3">
      <c r="A46" s="3" t="s">
        <v>741</v>
      </c>
      <c r="B46" s="4"/>
      <c r="C46" s="4" t="s">
        <v>8</v>
      </c>
      <c r="D46" s="4" t="s">
        <v>9</v>
      </c>
      <c r="E46" s="4" t="s">
        <v>10</v>
      </c>
      <c r="F46" s="4" t="s">
        <v>11</v>
      </c>
    </row>
    <row r="47" spans="1:6" x14ac:dyDescent="0.25">
      <c r="A47" s="5">
        <v>461</v>
      </c>
      <c r="B47" s="14">
        <v>26</v>
      </c>
      <c r="C47" s="8" t="s">
        <v>258</v>
      </c>
      <c r="D47" s="18">
        <f>4.5-112</f>
        <v>-107.5</v>
      </c>
      <c r="E47" s="16" t="s">
        <v>258</v>
      </c>
      <c r="F47" s="18">
        <v>180</v>
      </c>
    </row>
    <row r="48" spans="1:6" x14ac:dyDescent="0.25">
      <c r="A48" s="6" t="s">
        <v>746</v>
      </c>
      <c r="B48" s="13"/>
      <c r="C48" s="8"/>
      <c r="D48" s="17"/>
      <c r="E48" s="15"/>
      <c r="F48" s="17"/>
    </row>
    <row r="49" spans="1:6" x14ac:dyDescent="0.25">
      <c r="A49" s="7"/>
      <c r="B49" s="13"/>
      <c r="C49" s="8" t="s">
        <v>258</v>
      </c>
      <c r="D49" s="17"/>
      <c r="E49" s="15"/>
      <c r="F49" s="17"/>
    </row>
    <row r="50" spans="1:6" x14ac:dyDescent="0.25">
      <c r="A50" s="7"/>
      <c r="B50" s="13"/>
      <c r="C50" s="8"/>
      <c r="D50" s="17"/>
      <c r="E50" s="15"/>
      <c r="F50" s="17"/>
    </row>
    <row r="51" spans="1:6" x14ac:dyDescent="0.25">
      <c r="A51" s="7"/>
      <c r="B51" s="13"/>
      <c r="C51" s="8" t="s">
        <v>109</v>
      </c>
      <c r="D51" s="17"/>
      <c r="E51" s="15"/>
      <c r="F51" s="17"/>
    </row>
    <row r="52" spans="1:6" x14ac:dyDescent="0.25">
      <c r="A52" s="9">
        <v>462</v>
      </c>
      <c r="B52" s="19">
        <v>33</v>
      </c>
      <c r="C52" s="12">
        <f>-3.5-115</f>
        <v>-118.5</v>
      </c>
      <c r="D52" s="21">
        <f>-4.5-108</f>
        <v>-112.5</v>
      </c>
      <c r="E52" s="20" t="s">
        <v>539</v>
      </c>
      <c r="F52" s="21">
        <v>-218</v>
      </c>
    </row>
    <row r="53" spans="1:6" x14ac:dyDescent="0.25">
      <c r="A53" s="10" t="s">
        <v>747</v>
      </c>
      <c r="B53" s="19"/>
      <c r="C53" s="12"/>
      <c r="D53" s="21"/>
      <c r="E53" s="20"/>
      <c r="F53" s="21"/>
    </row>
    <row r="54" spans="1:6" x14ac:dyDescent="0.25">
      <c r="A54" s="11"/>
      <c r="B54" s="19"/>
      <c r="C54" s="12">
        <f>-3.5-112</f>
        <v>-115.5</v>
      </c>
      <c r="D54" s="21"/>
      <c r="E54" s="20"/>
      <c r="F54" s="21"/>
    </row>
    <row r="55" spans="1:6" x14ac:dyDescent="0.25">
      <c r="A55" s="11"/>
      <c r="B55" s="19"/>
      <c r="C55" s="12"/>
      <c r="D55" s="21"/>
      <c r="E55" s="20"/>
      <c r="F55" s="21"/>
    </row>
    <row r="56" spans="1:6" x14ac:dyDescent="0.25">
      <c r="A56" s="11"/>
      <c r="B56" s="19"/>
      <c r="C56" s="12">
        <f>-3.5-112</f>
        <v>-115.5</v>
      </c>
      <c r="D56" s="21"/>
      <c r="E56" s="20"/>
      <c r="F56" s="21"/>
    </row>
    <row r="57" spans="1:6" ht="37.5" x14ac:dyDescent="0.25">
      <c r="A57" s="22" t="s">
        <v>17</v>
      </c>
    </row>
    <row r="58" spans="1:6" ht="15.75" thickBot="1" x14ac:dyDescent="0.3">
      <c r="A58" s="3" t="s">
        <v>741</v>
      </c>
      <c r="B58" s="4"/>
      <c r="C58" s="4" t="s">
        <v>8</v>
      </c>
      <c r="D58" s="4" t="s">
        <v>9</v>
      </c>
      <c r="E58" s="4" t="s">
        <v>10</v>
      </c>
      <c r="F58" s="4" t="s">
        <v>11</v>
      </c>
    </row>
    <row r="59" spans="1:6" x14ac:dyDescent="0.25">
      <c r="A59" s="5">
        <v>463</v>
      </c>
      <c r="B59" s="25">
        <v>21</v>
      </c>
      <c r="C59" s="8">
        <f>-1.5-105</f>
        <v>-106.5</v>
      </c>
      <c r="D59" s="16">
        <f>-1.5-115</f>
        <v>-116.5</v>
      </c>
      <c r="E59" s="18" t="s">
        <v>159</v>
      </c>
      <c r="F59" s="16">
        <v>-130</v>
      </c>
    </row>
    <row r="60" spans="1:6" x14ac:dyDescent="0.25">
      <c r="A60" s="6" t="s">
        <v>748</v>
      </c>
      <c r="B60" s="24"/>
      <c r="C60" s="8"/>
      <c r="D60" s="15"/>
      <c r="E60" s="17"/>
      <c r="F60" s="15"/>
    </row>
    <row r="61" spans="1:6" x14ac:dyDescent="0.25">
      <c r="A61" s="7"/>
      <c r="B61" s="24"/>
      <c r="C61" s="8">
        <f>-1.5-105</f>
        <v>-106.5</v>
      </c>
      <c r="D61" s="15"/>
      <c r="E61" s="17"/>
      <c r="F61" s="15"/>
    </row>
    <row r="62" spans="1:6" x14ac:dyDescent="0.25">
      <c r="A62" s="7"/>
      <c r="B62" s="24"/>
      <c r="C62" s="8"/>
      <c r="D62" s="15"/>
      <c r="E62" s="17"/>
      <c r="F62" s="15"/>
    </row>
    <row r="63" spans="1:6" x14ac:dyDescent="0.25">
      <c r="A63" s="7"/>
      <c r="B63" s="24"/>
      <c r="C63" s="8">
        <f>-0.5-115</f>
        <v>-115.5</v>
      </c>
      <c r="D63" s="15"/>
      <c r="E63" s="17"/>
      <c r="F63" s="15"/>
    </row>
    <row r="64" spans="1:6" x14ac:dyDescent="0.25">
      <c r="A64" s="9">
        <v>464</v>
      </c>
      <c r="B64" s="26">
        <v>14</v>
      </c>
      <c r="C64" s="12" t="s">
        <v>159</v>
      </c>
      <c r="D64" s="20">
        <f>1.5-115</f>
        <v>-113.5</v>
      </c>
      <c r="E64" s="21" t="s">
        <v>646</v>
      </c>
      <c r="F64" s="20" t="s">
        <v>193</v>
      </c>
    </row>
    <row r="65" spans="1:6" x14ac:dyDescent="0.25">
      <c r="A65" s="10" t="s">
        <v>749</v>
      </c>
      <c r="B65" s="26"/>
      <c r="C65" s="12"/>
      <c r="D65" s="20"/>
      <c r="E65" s="21"/>
      <c r="F65" s="20"/>
    </row>
    <row r="66" spans="1:6" x14ac:dyDescent="0.25">
      <c r="A66" s="11"/>
      <c r="B66" s="26"/>
      <c r="C66" s="12" t="s">
        <v>188</v>
      </c>
      <c r="D66" s="20"/>
      <c r="E66" s="21"/>
      <c r="F66" s="20"/>
    </row>
    <row r="67" spans="1:6" x14ac:dyDescent="0.25">
      <c r="A67" s="11"/>
      <c r="B67" s="26"/>
      <c r="C67" s="12"/>
      <c r="D67" s="20"/>
      <c r="E67" s="21"/>
      <c r="F67" s="20"/>
    </row>
    <row r="68" spans="1:6" x14ac:dyDescent="0.25">
      <c r="A68" s="11"/>
      <c r="B68" s="26"/>
      <c r="C68" s="12" t="s">
        <v>188</v>
      </c>
      <c r="D68" s="20"/>
      <c r="E68" s="21"/>
      <c r="F68" s="20"/>
    </row>
    <row r="69" spans="1:6" ht="37.5" x14ac:dyDescent="0.25">
      <c r="A69" s="22" t="s">
        <v>17</v>
      </c>
    </row>
    <row r="70" spans="1:6" ht="15.75" thickBot="1" x14ac:dyDescent="0.3">
      <c r="A70" s="3" t="s">
        <v>741</v>
      </c>
      <c r="B70" s="4"/>
      <c r="C70" s="4" t="s">
        <v>8</v>
      </c>
      <c r="D70" s="4" t="s">
        <v>9</v>
      </c>
      <c r="E70" s="4" t="s">
        <v>10</v>
      </c>
      <c r="F70" s="4" t="s">
        <v>11</v>
      </c>
    </row>
    <row r="71" spans="1:6" x14ac:dyDescent="0.25">
      <c r="A71" s="5">
        <v>457</v>
      </c>
      <c r="B71" s="14">
        <v>10</v>
      </c>
      <c r="C71" s="8">
        <f>-8.5-102</f>
        <v>-110.5</v>
      </c>
      <c r="D71" s="18">
        <f>-7-120</f>
        <v>-127</v>
      </c>
      <c r="E71" s="18" t="s">
        <v>420</v>
      </c>
      <c r="F71" s="18">
        <v>-455</v>
      </c>
    </row>
    <row r="72" spans="1:6" x14ac:dyDescent="0.25">
      <c r="A72" s="6" t="s">
        <v>750</v>
      </c>
      <c r="B72" s="13"/>
      <c r="C72" s="8"/>
      <c r="D72" s="17"/>
      <c r="E72" s="17"/>
      <c r="F72" s="17"/>
    </row>
    <row r="73" spans="1:6" x14ac:dyDescent="0.25">
      <c r="A73" s="7"/>
      <c r="B73" s="13"/>
      <c r="C73" s="8">
        <f>-8.5-102</f>
        <v>-110.5</v>
      </c>
      <c r="D73" s="17"/>
      <c r="E73" s="17"/>
      <c r="F73" s="17"/>
    </row>
    <row r="74" spans="1:6" x14ac:dyDescent="0.25">
      <c r="A74" s="7"/>
      <c r="B74" s="13"/>
      <c r="C74" s="8"/>
      <c r="D74" s="17"/>
      <c r="E74" s="17"/>
      <c r="F74" s="17"/>
    </row>
    <row r="75" spans="1:6" x14ac:dyDescent="0.25">
      <c r="A75" s="7"/>
      <c r="B75" s="13"/>
      <c r="C75" s="8">
        <f>-8.5-105</f>
        <v>-113.5</v>
      </c>
      <c r="D75" s="17"/>
      <c r="E75" s="17"/>
      <c r="F75" s="17"/>
    </row>
    <row r="76" spans="1:6" x14ac:dyDescent="0.25">
      <c r="A76" s="9">
        <v>458</v>
      </c>
      <c r="B76" s="19">
        <v>13</v>
      </c>
      <c r="C76" s="12" t="s">
        <v>216</v>
      </c>
      <c r="D76" s="21" t="s">
        <v>189</v>
      </c>
      <c r="E76" s="21" t="s">
        <v>164</v>
      </c>
      <c r="F76" s="21">
        <v>350</v>
      </c>
    </row>
    <row r="77" spans="1:6" x14ac:dyDescent="0.25">
      <c r="A77" s="10" t="s">
        <v>751</v>
      </c>
      <c r="B77" s="19"/>
      <c r="C77" s="12"/>
      <c r="D77" s="21"/>
      <c r="E77" s="21"/>
      <c r="F77" s="21"/>
    </row>
    <row r="78" spans="1:6" x14ac:dyDescent="0.25">
      <c r="A78" s="11"/>
      <c r="B78" s="19"/>
      <c r="C78" s="12" t="s">
        <v>219</v>
      </c>
      <c r="D78" s="21"/>
      <c r="E78" s="21"/>
      <c r="F78" s="21"/>
    </row>
    <row r="79" spans="1:6" x14ac:dyDescent="0.25">
      <c r="A79" s="11"/>
      <c r="B79" s="19"/>
      <c r="C79" s="12"/>
      <c r="D79" s="21"/>
      <c r="E79" s="21"/>
      <c r="F79" s="21"/>
    </row>
    <row r="80" spans="1:6" x14ac:dyDescent="0.25">
      <c r="A80" s="11"/>
      <c r="B80" s="19"/>
      <c r="C80" s="12" t="s">
        <v>219</v>
      </c>
      <c r="D80" s="21"/>
      <c r="E80" s="21"/>
      <c r="F80" s="21"/>
    </row>
    <row r="81" spans="1:6" ht="37.5" x14ac:dyDescent="0.25">
      <c r="A81" s="22" t="s">
        <v>17</v>
      </c>
    </row>
    <row r="82" spans="1:6" ht="15.75" thickBot="1" x14ac:dyDescent="0.3">
      <c r="A82" s="3" t="s">
        <v>741</v>
      </c>
      <c r="B82" s="4"/>
      <c r="C82" s="4" t="s">
        <v>8</v>
      </c>
      <c r="D82" s="4" t="s">
        <v>9</v>
      </c>
      <c r="E82" s="4" t="s">
        <v>10</v>
      </c>
      <c r="F82" s="4" t="s">
        <v>11</v>
      </c>
    </row>
    <row r="83" spans="1:6" x14ac:dyDescent="0.25">
      <c r="A83" s="5">
        <v>453</v>
      </c>
      <c r="B83" s="14">
        <v>0</v>
      </c>
      <c r="C83" s="8">
        <f>-5.5-105</f>
        <v>-110.5</v>
      </c>
      <c r="D83" s="18">
        <f>-5.5-105</f>
        <v>-110.5</v>
      </c>
      <c r="E83" s="18" t="s">
        <v>188</v>
      </c>
      <c r="F83" s="18">
        <v>-225</v>
      </c>
    </row>
    <row r="84" spans="1:6" x14ac:dyDescent="0.25">
      <c r="A84" s="6" t="s">
        <v>752</v>
      </c>
      <c r="B84" s="13"/>
      <c r="C84" s="8"/>
      <c r="D84" s="17"/>
      <c r="E84" s="17"/>
      <c r="F84" s="17"/>
    </row>
    <row r="85" spans="1:6" x14ac:dyDescent="0.25">
      <c r="A85" s="7"/>
      <c r="B85" s="13"/>
      <c r="C85" s="8">
        <f>-5.5-105</f>
        <v>-110.5</v>
      </c>
      <c r="D85" s="17"/>
      <c r="E85" s="17"/>
      <c r="F85" s="17"/>
    </row>
    <row r="86" spans="1:6" x14ac:dyDescent="0.25">
      <c r="A86" s="7"/>
      <c r="B86" s="13"/>
      <c r="C86" s="8"/>
      <c r="D86" s="17"/>
      <c r="E86" s="17"/>
      <c r="F86" s="17"/>
    </row>
    <row r="87" spans="1:6" x14ac:dyDescent="0.25">
      <c r="A87" s="7"/>
      <c r="B87" s="13"/>
      <c r="C87" s="8">
        <f>-5.5-105</f>
        <v>-110.5</v>
      </c>
      <c r="D87" s="17"/>
      <c r="E87" s="17"/>
      <c r="F87" s="17"/>
    </row>
    <row r="88" spans="1:6" x14ac:dyDescent="0.25">
      <c r="A88" s="9">
        <v>454</v>
      </c>
      <c r="B88" s="19">
        <v>30</v>
      </c>
      <c r="C88" s="12" t="s">
        <v>188</v>
      </c>
      <c r="D88" s="21">
        <f>5.5-115</f>
        <v>-109.5</v>
      </c>
      <c r="E88" s="21" t="s">
        <v>195</v>
      </c>
      <c r="F88" s="21">
        <v>185</v>
      </c>
    </row>
    <row r="89" spans="1:6" x14ac:dyDescent="0.25">
      <c r="A89" s="10" t="s">
        <v>753</v>
      </c>
      <c r="B89" s="19"/>
      <c r="C89" s="12"/>
      <c r="D89" s="21"/>
      <c r="E89" s="21"/>
      <c r="F89" s="21"/>
    </row>
    <row r="90" spans="1:6" x14ac:dyDescent="0.25">
      <c r="A90" s="11"/>
      <c r="B90" s="19"/>
      <c r="C90" s="12" t="s">
        <v>89</v>
      </c>
      <c r="D90" s="21"/>
      <c r="E90" s="21"/>
      <c r="F90" s="21"/>
    </row>
    <row r="91" spans="1:6" x14ac:dyDescent="0.25">
      <c r="A91" s="11"/>
      <c r="B91" s="19"/>
      <c r="C91" s="12"/>
      <c r="D91" s="21"/>
      <c r="E91" s="21"/>
      <c r="F91" s="21"/>
    </row>
    <row r="92" spans="1:6" x14ac:dyDescent="0.25">
      <c r="A92" s="11"/>
      <c r="B92" s="19"/>
      <c r="C92" s="12" t="s">
        <v>188</v>
      </c>
      <c r="D92" s="21"/>
      <c r="E92" s="21"/>
      <c r="F92" s="21"/>
    </row>
    <row r="93" spans="1:6" ht="37.5" x14ac:dyDescent="0.25">
      <c r="A93" s="22" t="s">
        <v>17</v>
      </c>
    </row>
    <row r="94" spans="1:6" ht="15.75" thickBot="1" x14ac:dyDescent="0.3">
      <c r="A94" s="3" t="s">
        <v>741</v>
      </c>
      <c r="B94" s="4"/>
      <c r="C94" s="4" t="s">
        <v>8</v>
      </c>
      <c r="D94" s="4" t="s">
        <v>9</v>
      </c>
      <c r="E94" s="4" t="s">
        <v>10</v>
      </c>
      <c r="F94" s="4" t="s">
        <v>11</v>
      </c>
    </row>
    <row r="95" spans="1:6" x14ac:dyDescent="0.25">
      <c r="A95" s="5">
        <v>451</v>
      </c>
      <c r="B95" s="25">
        <v>41</v>
      </c>
      <c r="C95" s="8">
        <f>-6-108</f>
        <v>-114</v>
      </c>
      <c r="D95" s="16">
        <f>-6-108</f>
        <v>-114</v>
      </c>
      <c r="E95" s="16" t="s">
        <v>301</v>
      </c>
      <c r="F95" s="16">
        <v>-258</v>
      </c>
    </row>
    <row r="96" spans="1:6" x14ac:dyDescent="0.25">
      <c r="A96" s="6" t="s">
        <v>754</v>
      </c>
      <c r="B96" s="24"/>
      <c r="C96" s="8"/>
      <c r="D96" s="15"/>
      <c r="E96" s="15"/>
      <c r="F96" s="15"/>
    </row>
    <row r="97" spans="1:6" x14ac:dyDescent="0.25">
      <c r="A97" s="7"/>
      <c r="B97" s="24"/>
      <c r="C97" s="8">
        <f>-6-108</f>
        <v>-114</v>
      </c>
      <c r="D97" s="15"/>
      <c r="E97" s="15"/>
      <c r="F97" s="15"/>
    </row>
    <row r="98" spans="1:6" x14ac:dyDescent="0.25">
      <c r="A98" s="7"/>
      <c r="B98" s="24"/>
      <c r="C98" s="8"/>
      <c r="D98" s="15"/>
      <c r="E98" s="15"/>
      <c r="F98" s="15"/>
    </row>
    <row r="99" spans="1:6" x14ac:dyDescent="0.25">
      <c r="A99" s="7"/>
      <c r="B99" s="24"/>
      <c r="C99" s="8">
        <f>-6-108</f>
        <v>-114</v>
      </c>
      <c r="D99" s="15"/>
      <c r="E99" s="15"/>
      <c r="F99" s="15"/>
    </row>
    <row r="100" spans="1:6" x14ac:dyDescent="0.25">
      <c r="A100" s="9">
        <v>452</v>
      </c>
      <c r="B100" s="26">
        <v>20</v>
      </c>
      <c r="C100" s="12" t="s">
        <v>155</v>
      </c>
      <c r="D100" s="20">
        <f>6-112</f>
        <v>-106</v>
      </c>
      <c r="E100" s="20" t="s">
        <v>155</v>
      </c>
      <c r="F100" s="20">
        <v>205</v>
      </c>
    </row>
    <row r="101" spans="1:6" x14ac:dyDescent="0.25">
      <c r="A101" s="10" t="s">
        <v>755</v>
      </c>
      <c r="B101" s="26"/>
      <c r="C101" s="12"/>
      <c r="D101" s="20"/>
      <c r="E101" s="20"/>
      <c r="F101" s="20"/>
    </row>
    <row r="102" spans="1:6" x14ac:dyDescent="0.25">
      <c r="A102" s="11"/>
      <c r="B102" s="26"/>
      <c r="C102" s="12" t="s">
        <v>598</v>
      </c>
      <c r="D102" s="20"/>
      <c r="E102" s="20"/>
      <c r="F102" s="20"/>
    </row>
    <row r="103" spans="1:6" x14ac:dyDescent="0.25">
      <c r="A103" s="11"/>
      <c r="B103" s="26"/>
      <c r="C103" s="12"/>
      <c r="D103" s="20"/>
      <c r="E103" s="20"/>
      <c r="F103" s="20"/>
    </row>
    <row r="104" spans="1:6" x14ac:dyDescent="0.25">
      <c r="A104" s="11"/>
      <c r="B104" s="26"/>
      <c r="C104" s="12" t="s">
        <v>387</v>
      </c>
      <c r="D104" s="20"/>
      <c r="E104" s="20"/>
      <c r="F104" s="20"/>
    </row>
    <row r="105" spans="1:6" ht="37.5" x14ac:dyDescent="0.25">
      <c r="A105" s="22" t="s">
        <v>17</v>
      </c>
    </row>
    <row r="106" spans="1:6" ht="15.75" thickBot="1" x14ac:dyDescent="0.3">
      <c r="A106" s="3" t="s">
        <v>741</v>
      </c>
      <c r="B106" s="4"/>
      <c r="C106" s="4" t="s">
        <v>8</v>
      </c>
      <c r="D106" s="4" t="s">
        <v>9</v>
      </c>
      <c r="E106" s="4" t="s">
        <v>10</v>
      </c>
      <c r="F106" s="4" t="s">
        <v>11</v>
      </c>
    </row>
    <row r="107" spans="1:6" x14ac:dyDescent="0.25">
      <c r="A107" s="5">
        <v>467</v>
      </c>
      <c r="B107" s="14">
        <v>10</v>
      </c>
      <c r="C107" s="8" t="s">
        <v>596</v>
      </c>
      <c r="D107" s="18">
        <f>1.5-115</f>
        <v>-113.5</v>
      </c>
      <c r="E107" s="18" t="s">
        <v>316</v>
      </c>
      <c r="F107" s="18" t="s">
        <v>193</v>
      </c>
    </row>
    <row r="108" spans="1:6" x14ac:dyDescent="0.25">
      <c r="A108" s="6" t="s">
        <v>756</v>
      </c>
      <c r="B108" s="13"/>
      <c r="C108" s="8"/>
      <c r="D108" s="17"/>
      <c r="E108" s="17"/>
      <c r="F108" s="17"/>
    </row>
    <row r="109" spans="1:6" x14ac:dyDescent="0.25">
      <c r="A109" s="7"/>
      <c r="B109" s="13"/>
      <c r="C109" s="8" t="s">
        <v>596</v>
      </c>
      <c r="D109" s="17"/>
      <c r="E109" s="17"/>
      <c r="F109" s="17"/>
    </row>
    <row r="110" spans="1:6" x14ac:dyDescent="0.25">
      <c r="A110" s="7"/>
      <c r="B110" s="13"/>
      <c r="C110" s="8"/>
      <c r="D110" s="17"/>
      <c r="E110" s="17"/>
      <c r="F110" s="17"/>
    </row>
    <row r="111" spans="1:6" x14ac:dyDescent="0.25">
      <c r="A111" s="7"/>
      <c r="B111" s="13"/>
      <c r="C111" s="8" t="s">
        <v>596</v>
      </c>
      <c r="D111" s="17"/>
      <c r="E111" s="17"/>
      <c r="F111" s="17"/>
    </row>
    <row r="112" spans="1:6" x14ac:dyDescent="0.25">
      <c r="A112" s="9">
        <v>468</v>
      </c>
      <c r="B112" s="19">
        <v>17</v>
      </c>
      <c r="C112" s="12">
        <f>-1.5-105</f>
        <v>-106.5</v>
      </c>
      <c r="D112" s="21">
        <f>-1.5-105</f>
        <v>-106.5</v>
      </c>
      <c r="E112" s="21" t="s">
        <v>501</v>
      </c>
      <c r="F112" s="21">
        <v>-120</v>
      </c>
    </row>
    <row r="113" spans="1:6" x14ac:dyDescent="0.25">
      <c r="A113" s="10" t="s">
        <v>757</v>
      </c>
      <c r="B113" s="19"/>
      <c r="C113" s="12"/>
      <c r="D113" s="21"/>
      <c r="E113" s="21"/>
      <c r="F113" s="21"/>
    </row>
    <row r="114" spans="1:6" x14ac:dyDescent="0.25">
      <c r="A114" s="11"/>
      <c r="B114" s="19"/>
      <c r="C114" s="12">
        <f>-1.5-105</f>
        <v>-106.5</v>
      </c>
      <c r="D114" s="21"/>
      <c r="E114" s="21"/>
      <c r="F114" s="21"/>
    </row>
    <row r="115" spans="1:6" x14ac:dyDescent="0.25">
      <c r="A115" s="11"/>
      <c r="B115" s="19"/>
      <c r="C115" s="12"/>
      <c r="D115" s="21"/>
      <c r="E115" s="21"/>
      <c r="F115" s="21"/>
    </row>
    <row r="116" spans="1:6" x14ac:dyDescent="0.25">
      <c r="A116" s="11"/>
      <c r="B116" s="19"/>
      <c r="C116" s="12">
        <f>-1.5-112</f>
        <v>-113.5</v>
      </c>
      <c r="D116" s="21"/>
      <c r="E116" s="21"/>
      <c r="F116" s="21"/>
    </row>
    <row r="117" spans="1:6" ht="37.5" x14ac:dyDescent="0.25">
      <c r="A117" s="22" t="s">
        <v>17</v>
      </c>
    </row>
    <row r="118" spans="1:6" ht="15.75" thickBot="1" x14ac:dyDescent="0.3">
      <c r="A118" s="3" t="s">
        <v>741</v>
      </c>
      <c r="B118" s="4"/>
      <c r="C118" s="4" t="s">
        <v>8</v>
      </c>
      <c r="D118" s="4" t="s">
        <v>9</v>
      </c>
      <c r="E118" s="4" t="s">
        <v>10</v>
      </c>
      <c r="F118" s="4" t="s">
        <v>11</v>
      </c>
    </row>
    <row r="119" spans="1:6" x14ac:dyDescent="0.25">
      <c r="A119" s="5">
        <v>459</v>
      </c>
      <c r="B119" s="14">
        <v>10</v>
      </c>
      <c r="C119" s="8" t="s">
        <v>316</v>
      </c>
      <c r="D119" s="18">
        <f>3-110</f>
        <v>-107</v>
      </c>
      <c r="E119" s="16" t="s">
        <v>316</v>
      </c>
      <c r="F119" s="18">
        <v>140</v>
      </c>
    </row>
    <row r="120" spans="1:6" x14ac:dyDescent="0.25">
      <c r="A120" s="6" t="s">
        <v>758</v>
      </c>
      <c r="B120" s="13"/>
      <c r="C120" s="8"/>
      <c r="D120" s="17"/>
      <c r="E120" s="15"/>
      <c r="F120" s="17"/>
    </row>
    <row r="121" spans="1:6" x14ac:dyDescent="0.25">
      <c r="A121" s="7"/>
      <c r="B121" s="13"/>
      <c r="C121" s="8" t="s">
        <v>293</v>
      </c>
      <c r="D121" s="17"/>
      <c r="E121" s="15"/>
      <c r="F121" s="17"/>
    </row>
    <row r="122" spans="1:6" x14ac:dyDescent="0.25">
      <c r="A122" s="7"/>
      <c r="B122" s="13"/>
      <c r="C122" s="8"/>
      <c r="D122" s="17"/>
      <c r="E122" s="15"/>
      <c r="F122" s="17"/>
    </row>
    <row r="123" spans="1:6" x14ac:dyDescent="0.25">
      <c r="A123" s="7"/>
      <c r="B123" s="13"/>
      <c r="C123" s="8" t="s">
        <v>301</v>
      </c>
      <c r="D123" s="17"/>
      <c r="E123" s="15"/>
      <c r="F123" s="17"/>
    </row>
    <row r="124" spans="1:6" x14ac:dyDescent="0.25">
      <c r="A124" s="9">
        <v>460</v>
      </c>
      <c r="B124" s="19">
        <v>48</v>
      </c>
      <c r="C124" s="12">
        <f>-3-110</f>
        <v>-113</v>
      </c>
      <c r="D124" s="21">
        <f>-3-110</f>
        <v>-113</v>
      </c>
      <c r="E124" s="20" t="s">
        <v>501</v>
      </c>
      <c r="F124" s="21">
        <v>-166</v>
      </c>
    </row>
    <row r="125" spans="1:6" x14ac:dyDescent="0.25">
      <c r="A125" s="10" t="s">
        <v>759</v>
      </c>
      <c r="B125" s="19"/>
      <c r="C125" s="12"/>
      <c r="D125" s="21"/>
      <c r="E125" s="20"/>
      <c r="F125" s="21"/>
    </row>
    <row r="126" spans="1:6" x14ac:dyDescent="0.25">
      <c r="A126" s="11"/>
      <c r="B126" s="19"/>
      <c r="C126" s="12">
        <f>-3-110</f>
        <v>-113</v>
      </c>
      <c r="D126" s="21"/>
      <c r="E126" s="20"/>
      <c r="F126" s="21"/>
    </row>
    <row r="127" spans="1:6" x14ac:dyDescent="0.25">
      <c r="A127" s="11"/>
      <c r="B127" s="19"/>
      <c r="C127" s="12"/>
      <c r="D127" s="21"/>
      <c r="E127" s="20"/>
      <c r="F127" s="21"/>
    </row>
    <row r="128" spans="1:6" x14ac:dyDescent="0.25">
      <c r="A128" s="11"/>
      <c r="B128" s="19"/>
      <c r="C128" s="12">
        <f>-3-110</f>
        <v>-113</v>
      </c>
      <c r="D128" s="21"/>
      <c r="E128" s="20"/>
      <c r="F128" s="21"/>
    </row>
    <row r="129" spans="1:6" ht="37.5" x14ac:dyDescent="0.25">
      <c r="A129" s="22" t="s">
        <v>17</v>
      </c>
    </row>
    <row r="130" spans="1:6" ht="15.75" thickBot="1" x14ac:dyDescent="0.3">
      <c r="A130" s="3" t="s">
        <v>760</v>
      </c>
      <c r="B130" s="4"/>
      <c r="C130" s="4" t="s">
        <v>8</v>
      </c>
      <c r="D130" s="4" t="s">
        <v>9</v>
      </c>
      <c r="E130" s="4" t="s">
        <v>10</v>
      </c>
      <c r="F130" s="4" t="s">
        <v>11</v>
      </c>
    </row>
    <row r="131" spans="1:6" x14ac:dyDescent="0.25">
      <c r="A131" s="5">
        <v>471</v>
      </c>
      <c r="B131" s="14">
        <v>13</v>
      </c>
      <c r="C131" s="8" t="s">
        <v>289</v>
      </c>
      <c r="D131" s="18">
        <f>7.5-115</f>
        <v>-107.5</v>
      </c>
      <c r="E131" s="16" t="s">
        <v>289</v>
      </c>
      <c r="F131" s="18">
        <v>295</v>
      </c>
    </row>
    <row r="132" spans="1:6" x14ac:dyDescent="0.25">
      <c r="A132" s="6" t="s">
        <v>761</v>
      </c>
      <c r="B132" s="13"/>
      <c r="C132" s="8"/>
      <c r="D132" s="17"/>
      <c r="E132" s="15"/>
      <c r="F132" s="17"/>
    </row>
    <row r="133" spans="1:6" x14ac:dyDescent="0.25">
      <c r="A133" s="7"/>
      <c r="B133" s="13"/>
      <c r="C133" s="8" t="s">
        <v>289</v>
      </c>
      <c r="D133" s="17"/>
      <c r="E133" s="15"/>
      <c r="F133" s="17"/>
    </row>
    <row r="134" spans="1:6" x14ac:dyDescent="0.25">
      <c r="A134" s="7"/>
      <c r="B134" s="13"/>
      <c r="C134" s="8"/>
      <c r="D134" s="17"/>
      <c r="E134" s="15"/>
      <c r="F134" s="17"/>
    </row>
    <row r="135" spans="1:6" x14ac:dyDescent="0.25">
      <c r="A135" s="7"/>
      <c r="B135" s="13"/>
      <c r="C135" s="8" t="s">
        <v>289</v>
      </c>
      <c r="D135" s="17"/>
      <c r="E135" s="15"/>
      <c r="F135" s="17"/>
    </row>
    <row r="136" spans="1:6" x14ac:dyDescent="0.25">
      <c r="A136" s="9">
        <v>472</v>
      </c>
      <c r="B136" s="19">
        <v>44</v>
      </c>
      <c r="C136" s="12">
        <f>-7.5-105</f>
        <v>-112.5</v>
      </c>
      <c r="D136" s="21">
        <f>-7.5-105</f>
        <v>-112.5</v>
      </c>
      <c r="E136" s="20" t="s">
        <v>291</v>
      </c>
      <c r="F136" s="21">
        <v>-360</v>
      </c>
    </row>
    <row r="137" spans="1:6" x14ac:dyDescent="0.25">
      <c r="A137" s="10" t="s">
        <v>762</v>
      </c>
      <c r="B137" s="19"/>
      <c r="C137" s="12"/>
      <c r="D137" s="21"/>
      <c r="E137" s="20"/>
      <c r="F137" s="21"/>
    </row>
    <row r="138" spans="1:6" x14ac:dyDescent="0.25">
      <c r="A138" s="11"/>
      <c r="B138" s="19"/>
      <c r="C138" s="12">
        <f>-7-110</f>
        <v>-117</v>
      </c>
      <c r="D138" s="21"/>
      <c r="E138" s="20"/>
      <c r="F138" s="21"/>
    </row>
    <row r="139" spans="1:6" x14ac:dyDescent="0.25">
      <c r="A139" s="11"/>
      <c r="B139" s="19"/>
      <c r="C139" s="12"/>
      <c r="D139" s="21"/>
      <c r="E139" s="20"/>
      <c r="F139" s="21"/>
    </row>
    <row r="140" spans="1:6" x14ac:dyDescent="0.25">
      <c r="A140" s="11"/>
      <c r="B140" s="19"/>
      <c r="C140" s="12">
        <f>-7.5-105</f>
        <v>-112.5</v>
      </c>
      <c r="D140" s="21"/>
      <c r="E140" s="20"/>
      <c r="F140" s="21"/>
    </row>
    <row r="141" spans="1:6" ht="37.5" x14ac:dyDescent="0.25">
      <c r="A141" s="22" t="s">
        <v>17</v>
      </c>
    </row>
    <row r="142" spans="1:6" ht="15.75" thickBot="1" x14ac:dyDescent="0.3">
      <c r="A142" s="3" t="s">
        <v>760</v>
      </c>
      <c r="B142" s="4"/>
      <c r="C142" s="4" t="s">
        <v>8</v>
      </c>
      <c r="D142" s="4" t="s">
        <v>9</v>
      </c>
      <c r="E142" s="4" t="s">
        <v>10</v>
      </c>
      <c r="F142" s="4" t="s">
        <v>11</v>
      </c>
    </row>
    <row r="143" spans="1:6" x14ac:dyDescent="0.25">
      <c r="A143" s="5">
        <v>469</v>
      </c>
      <c r="B143" s="14">
        <v>20</v>
      </c>
      <c r="C143" s="8" t="s">
        <v>522</v>
      </c>
      <c r="D143" s="18" t="s">
        <v>26</v>
      </c>
      <c r="E143" s="18" t="s">
        <v>522</v>
      </c>
      <c r="F143" s="18">
        <v>130</v>
      </c>
    </row>
    <row r="144" spans="1:6" x14ac:dyDescent="0.25">
      <c r="A144" s="6" t="s">
        <v>763</v>
      </c>
      <c r="B144" s="13"/>
      <c r="C144" s="8"/>
      <c r="D144" s="17"/>
      <c r="E144" s="17"/>
      <c r="F144" s="17"/>
    </row>
    <row r="145" spans="1:6" x14ac:dyDescent="0.25">
      <c r="A145" s="7"/>
      <c r="B145" s="13"/>
      <c r="C145" s="8" t="s">
        <v>522</v>
      </c>
      <c r="D145" s="17"/>
      <c r="E145" s="17"/>
      <c r="F145" s="17"/>
    </row>
    <row r="146" spans="1:6" x14ac:dyDescent="0.25">
      <c r="A146" s="7"/>
      <c r="B146" s="13"/>
      <c r="C146" s="8"/>
      <c r="D146" s="17"/>
      <c r="E146" s="17"/>
      <c r="F146" s="17"/>
    </row>
    <row r="147" spans="1:6" x14ac:dyDescent="0.25">
      <c r="A147" s="7"/>
      <c r="B147" s="13"/>
      <c r="C147" s="8" t="s">
        <v>522</v>
      </c>
      <c r="D147" s="17"/>
      <c r="E147" s="17"/>
      <c r="F147" s="17"/>
    </row>
    <row r="148" spans="1:6" x14ac:dyDescent="0.25">
      <c r="A148" s="9">
        <v>470</v>
      </c>
      <c r="B148" s="19">
        <v>23</v>
      </c>
      <c r="C148" s="12">
        <f>-2.5-120</f>
        <v>-122.5</v>
      </c>
      <c r="D148" s="21">
        <f>-2.5-120</f>
        <v>-122.5</v>
      </c>
      <c r="E148" s="21" t="s">
        <v>417</v>
      </c>
      <c r="F148" s="21">
        <v>-155</v>
      </c>
    </row>
    <row r="149" spans="1:6" x14ac:dyDescent="0.25">
      <c r="A149" s="10" t="s">
        <v>764</v>
      </c>
      <c r="B149" s="19"/>
      <c r="C149" s="12"/>
      <c r="D149" s="21"/>
      <c r="E149" s="21"/>
      <c r="F149" s="21"/>
    </row>
    <row r="150" spans="1:6" x14ac:dyDescent="0.25">
      <c r="A150" s="11"/>
      <c r="B150" s="19"/>
      <c r="C150" s="12">
        <f>-2.5-120</f>
        <v>-122.5</v>
      </c>
      <c r="D150" s="21"/>
      <c r="E150" s="21"/>
      <c r="F150" s="21"/>
    </row>
    <row r="151" spans="1:6" x14ac:dyDescent="0.25">
      <c r="A151" s="11"/>
      <c r="B151" s="19"/>
      <c r="C151" s="12"/>
      <c r="D151" s="21"/>
      <c r="E151" s="21"/>
      <c r="F151" s="21"/>
    </row>
    <row r="152" spans="1:6" x14ac:dyDescent="0.25">
      <c r="A152" s="11"/>
      <c r="B152" s="19"/>
      <c r="C152" s="12">
        <f>-2.5-120</f>
        <v>-122.5</v>
      </c>
      <c r="D152" s="21"/>
      <c r="E152" s="21"/>
      <c r="F152" s="21"/>
    </row>
    <row r="153" spans="1:6" ht="37.5" x14ac:dyDescent="0.25">
      <c r="A153" s="22" t="s">
        <v>17</v>
      </c>
    </row>
    <row r="154" spans="1:6" ht="15.75" thickBot="1" x14ac:dyDescent="0.3">
      <c r="A154" s="3" t="s">
        <v>765</v>
      </c>
      <c r="B154" s="4"/>
      <c r="C154" s="4" t="s">
        <v>8</v>
      </c>
      <c r="D154" s="4" t="s">
        <v>9</v>
      </c>
      <c r="E154" s="4" t="s">
        <v>10</v>
      </c>
      <c r="F154" s="4" t="s">
        <v>11</v>
      </c>
    </row>
    <row r="155" spans="1:6" x14ac:dyDescent="0.25">
      <c r="A155" s="5">
        <v>473</v>
      </c>
      <c r="B155" s="14">
        <v>14</v>
      </c>
      <c r="C155" s="8">
        <f>-1.5-115</f>
        <v>-116.5</v>
      </c>
      <c r="D155" s="18">
        <f>-1.5-115</f>
        <v>-116.5</v>
      </c>
      <c r="E155" s="18" t="s">
        <v>738</v>
      </c>
      <c r="F155" s="18">
        <v>-125</v>
      </c>
    </row>
    <row r="156" spans="1:6" x14ac:dyDescent="0.25">
      <c r="A156" s="6" t="s">
        <v>766</v>
      </c>
      <c r="B156" s="13"/>
      <c r="C156" s="8"/>
      <c r="D156" s="17"/>
      <c r="E156" s="17"/>
      <c r="F156" s="17"/>
    </row>
    <row r="157" spans="1:6" x14ac:dyDescent="0.25">
      <c r="A157" s="7"/>
      <c r="B157" s="13"/>
      <c r="C157" s="8">
        <f>-1.5-115</f>
        <v>-116.5</v>
      </c>
      <c r="D157" s="17"/>
      <c r="E157" s="17"/>
      <c r="F157" s="17"/>
    </row>
    <row r="158" spans="1:6" x14ac:dyDescent="0.25">
      <c r="A158" s="7"/>
      <c r="B158" s="13"/>
      <c r="C158" s="8"/>
      <c r="D158" s="17"/>
      <c r="E158" s="17"/>
      <c r="F158" s="17"/>
    </row>
    <row r="159" spans="1:6" x14ac:dyDescent="0.25">
      <c r="A159" s="7"/>
      <c r="B159" s="13"/>
      <c r="C159" s="8">
        <f>-1.5-112</f>
        <v>-113.5</v>
      </c>
      <c r="D159" s="17"/>
      <c r="E159" s="17"/>
      <c r="F159" s="17"/>
    </row>
    <row r="160" spans="1:6" x14ac:dyDescent="0.25">
      <c r="A160" s="9">
        <v>474</v>
      </c>
      <c r="B160" s="19">
        <v>31</v>
      </c>
      <c r="C160" s="12" t="s">
        <v>452</v>
      </c>
      <c r="D160" s="21">
        <f>1.5-105</f>
        <v>-103.5</v>
      </c>
      <c r="E160" s="21" t="s">
        <v>452</v>
      </c>
      <c r="F160" s="21">
        <v>105</v>
      </c>
    </row>
    <row r="161" spans="1:6" x14ac:dyDescent="0.25">
      <c r="A161" s="10" t="s">
        <v>767</v>
      </c>
      <c r="B161" s="19"/>
      <c r="C161" s="12"/>
      <c r="D161" s="21"/>
      <c r="E161" s="21"/>
      <c r="F161" s="21"/>
    </row>
    <row r="162" spans="1:6" x14ac:dyDescent="0.25">
      <c r="A162" s="11"/>
      <c r="B162" s="19"/>
      <c r="C162" s="12" t="s">
        <v>48</v>
      </c>
      <c r="D162" s="21"/>
      <c r="E162" s="21"/>
      <c r="F162" s="21"/>
    </row>
    <row r="163" spans="1:6" x14ac:dyDescent="0.25">
      <c r="A163" s="11"/>
      <c r="B163" s="19"/>
      <c r="C163" s="12"/>
      <c r="D163" s="21"/>
      <c r="E163" s="21"/>
      <c r="F163" s="21"/>
    </row>
    <row r="164" spans="1:6" x14ac:dyDescent="0.25">
      <c r="A164" s="11"/>
      <c r="B164" s="19"/>
      <c r="C164" s="12" t="s">
        <v>48</v>
      </c>
      <c r="D164" s="21"/>
      <c r="E164" s="21"/>
      <c r="F164" s="21"/>
    </row>
    <row r="165" spans="1:6" ht="37.5" x14ac:dyDescent="0.25">
      <c r="A165" s="22" t="s">
        <v>17</v>
      </c>
    </row>
    <row r="166" spans="1:6" ht="15.75" thickBot="1" x14ac:dyDescent="0.3">
      <c r="A166" s="3" t="s">
        <v>765</v>
      </c>
      <c r="B166" s="4"/>
      <c r="C166" s="4" t="s">
        <v>8</v>
      </c>
      <c r="D166" s="4" t="s">
        <v>9</v>
      </c>
      <c r="E166" s="4" t="s">
        <v>10</v>
      </c>
      <c r="F166" s="4" t="s">
        <v>11</v>
      </c>
    </row>
    <row r="167" spans="1:6" x14ac:dyDescent="0.25">
      <c r="A167" s="5">
        <v>475</v>
      </c>
      <c r="B167" s="14">
        <v>15</v>
      </c>
      <c r="C167" s="8" t="s">
        <v>305</v>
      </c>
      <c r="D167" s="16">
        <f>1.5-112</f>
        <v>-110.5</v>
      </c>
      <c r="E167" s="18" t="s">
        <v>769</v>
      </c>
      <c r="F167" s="18">
        <v>105</v>
      </c>
    </row>
    <row r="168" spans="1:6" x14ac:dyDescent="0.25">
      <c r="A168" s="6" t="s">
        <v>768</v>
      </c>
      <c r="B168" s="13"/>
      <c r="C168" s="8"/>
      <c r="D168" s="15"/>
      <c r="E168" s="17"/>
      <c r="F168" s="17"/>
    </row>
    <row r="169" spans="1:6" x14ac:dyDescent="0.25">
      <c r="A169" s="7"/>
      <c r="B169" s="13"/>
      <c r="C169" s="8" t="s">
        <v>305</v>
      </c>
      <c r="D169" s="15"/>
      <c r="E169" s="17"/>
      <c r="F169" s="17"/>
    </row>
    <row r="170" spans="1:6" x14ac:dyDescent="0.25">
      <c r="A170" s="7"/>
      <c r="B170" s="13"/>
      <c r="C170" s="8"/>
      <c r="D170" s="15"/>
      <c r="E170" s="17"/>
      <c r="F170" s="17"/>
    </row>
    <row r="171" spans="1:6" x14ac:dyDescent="0.25">
      <c r="A171" s="7"/>
      <c r="B171" s="13"/>
      <c r="C171" s="8" t="s">
        <v>305</v>
      </c>
      <c r="D171" s="15"/>
      <c r="E171" s="17"/>
      <c r="F171" s="17"/>
    </row>
    <row r="172" spans="1:6" x14ac:dyDescent="0.25">
      <c r="A172" s="9">
        <v>476</v>
      </c>
      <c r="B172" s="19">
        <v>16</v>
      </c>
      <c r="C172" s="12">
        <f>-1.5-108</f>
        <v>-109.5</v>
      </c>
      <c r="D172" s="20">
        <f>-1.5-120</f>
        <v>-121.5</v>
      </c>
      <c r="E172" s="21" t="s">
        <v>305</v>
      </c>
      <c r="F172" s="21">
        <v>-135</v>
      </c>
    </row>
    <row r="173" spans="1:6" x14ac:dyDescent="0.25">
      <c r="A173" s="10" t="s">
        <v>770</v>
      </c>
      <c r="B173" s="19"/>
      <c r="C173" s="12"/>
      <c r="D173" s="20"/>
      <c r="E173" s="21"/>
      <c r="F173" s="21"/>
    </row>
    <row r="174" spans="1:6" x14ac:dyDescent="0.25">
      <c r="A174" s="11"/>
      <c r="B174" s="19"/>
      <c r="C174" s="12">
        <f>-2.5-105</f>
        <v>-107.5</v>
      </c>
      <c r="D174" s="20"/>
      <c r="E174" s="21"/>
      <c r="F174" s="21"/>
    </row>
    <row r="175" spans="1:6" x14ac:dyDescent="0.25">
      <c r="A175" s="11"/>
      <c r="B175" s="19"/>
      <c r="C175" s="12"/>
      <c r="D175" s="20"/>
      <c r="E175" s="21"/>
      <c r="F175" s="21"/>
    </row>
    <row r="176" spans="1:6" x14ac:dyDescent="0.25">
      <c r="A176" s="11"/>
      <c r="B176" s="19"/>
      <c r="C176" s="12">
        <f>-1.5-112</f>
        <v>-113.5</v>
      </c>
      <c r="D176" s="20"/>
      <c r="E176" s="21"/>
      <c r="F176" s="21"/>
    </row>
    <row r="177" spans="1:6" ht="37.5" x14ac:dyDescent="0.25">
      <c r="A177" s="22" t="s">
        <v>17</v>
      </c>
    </row>
    <row r="178" spans="1:6" ht="15.75" thickBot="1" x14ac:dyDescent="0.3">
      <c r="A178" s="3" t="s">
        <v>771</v>
      </c>
      <c r="B178" s="4"/>
      <c r="C178" s="4" t="s">
        <v>8</v>
      </c>
      <c r="D178" s="4" t="s">
        <v>9</v>
      </c>
      <c r="E178" s="4" t="s">
        <v>10</v>
      </c>
      <c r="F178" s="4" t="s">
        <v>11</v>
      </c>
    </row>
    <row r="179" spans="1:6" x14ac:dyDescent="0.25">
      <c r="A179" s="5">
        <v>477</v>
      </c>
      <c r="B179" s="25">
        <v>22</v>
      </c>
      <c r="C179" s="8">
        <f>-6-115</f>
        <v>-121</v>
      </c>
      <c r="D179" s="16">
        <f>-6-115</f>
        <v>-121</v>
      </c>
      <c r="E179" s="18" t="s">
        <v>167</v>
      </c>
      <c r="F179" s="16">
        <v>-325</v>
      </c>
    </row>
    <row r="180" spans="1:6" x14ac:dyDescent="0.25">
      <c r="A180" s="6" t="s">
        <v>772</v>
      </c>
      <c r="B180" s="24"/>
      <c r="C180" s="8"/>
      <c r="D180" s="15"/>
      <c r="E180" s="17"/>
      <c r="F180" s="15"/>
    </row>
    <row r="181" spans="1:6" x14ac:dyDescent="0.25">
      <c r="A181" s="7"/>
      <c r="B181" s="24"/>
      <c r="C181" s="8">
        <f>-6-115</f>
        <v>-121</v>
      </c>
      <c r="D181" s="15"/>
      <c r="E181" s="17"/>
      <c r="F181" s="15"/>
    </row>
    <row r="182" spans="1:6" x14ac:dyDescent="0.25">
      <c r="A182" s="7"/>
      <c r="B182" s="24"/>
      <c r="C182" s="8"/>
      <c r="D182" s="15"/>
      <c r="E182" s="17"/>
      <c r="F182" s="15"/>
    </row>
    <row r="183" spans="1:6" x14ac:dyDescent="0.25">
      <c r="A183" s="7"/>
      <c r="B183" s="24"/>
      <c r="C183" s="8">
        <f>-6-115</f>
        <v>-121</v>
      </c>
      <c r="D183" s="15"/>
      <c r="E183" s="17"/>
      <c r="F183" s="15"/>
    </row>
    <row r="184" spans="1:6" x14ac:dyDescent="0.25">
      <c r="A184" s="9">
        <v>478</v>
      </c>
      <c r="B184" s="26">
        <v>9</v>
      </c>
      <c r="C184" s="12" t="s">
        <v>328</v>
      </c>
      <c r="D184" s="20">
        <f>6-105</f>
        <v>-99</v>
      </c>
      <c r="E184" s="21" t="s">
        <v>328</v>
      </c>
      <c r="F184" s="20">
        <v>260</v>
      </c>
    </row>
    <row r="185" spans="1:6" x14ac:dyDescent="0.25">
      <c r="A185" s="10" t="s">
        <v>773</v>
      </c>
      <c r="B185" s="26"/>
      <c r="C185" s="12"/>
      <c r="D185" s="20"/>
      <c r="E185" s="21"/>
      <c r="F185" s="20"/>
    </row>
    <row r="186" spans="1:6" x14ac:dyDescent="0.25">
      <c r="A186" s="11"/>
      <c r="B186" s="26"/>
      <c r="C186" s="12" t="s">
        <v>106</v>
      </c>
      <c r="D186" s="20"/>
      <c r="E186" s="21"/>
      <c r="F186" s="20"/>
    </row>
    <row r="187" spans="1:6" x14ac:dyDescent="0.25">
      <c r="A187" s="11"/>
      <c r="B187" s="26"/>
      <c r="C187" s="12"/>
      <c r="D187" s="20"/>
      <c r="E187" s="21"/>
      <c r="F187" s="20"/>
    </row>
    <row r="188" spans="1:6" x14ac:dyDescent="0.25">
      <c r="A188" s="11"/>
      <c r="B188" s="26"/>
      <c r="C188" s="12" t="s">
        <v>623</v>
      </c>
      <c r="D188" s="20"/>
      <c r="E188" s="21"/>
      <c r="F188" s="20"/>
    </row>
    <row r="189" spans="1:6" ht="38.25" thickBot="1" x14ac:dyDescent="0.3">
      <c r="A189" s="22" t="s">
        <v>17</v>
      </c>
    </row>
    <row r="190" spans="1:6" ht="45" x14ac:dyDescent="0.25">
      <c r="A190" s="27" t="s">
        <v>709</v>
      </c>
    </row>
    <row r="191" spans="1:6" ht="15.75" thickBot="1" x14ac:dyDescent="0.3">
      <c r="A191" s="3" t="s">
        <v>774</v>
      </c>
      <c r="B191" s="4"/>
      <c r="C191" s="4" t="s">
        <v>8</v>
      </c>
      <c r="D191" s="4" t="s">
        <v>9</v>
      </c>
      <c r="E191" s="4" t="s">
        <v>10</v>
      </c>
      <c r="F191" s="4" t="s">
        <v>11</v>
      </c>
    </row>
    <row r="192" spans="1:6" x14ac:dyDescent="0.25">
      <c r="A192" s="5">
        <v>479</v>
      </c>
      <c r="B192" s="25">
        <v>38</v>
      </c>
      <c r="C192" s="8" t="s">
        <v>580</v>
      </c>
      <c r="D192" s="16">
        <f>4.5-102</f>
        <v>-97.5</v>
      </c>
      <c r="E192" s="16" t="s">
        <v>580</v>
      </c>
      <c r="F192" s="16">
        <v>200</v>
      </c>
    </row>
    <row r="193" spans="1:6" x14ac:dyDescent="0.25">
      <c r="A193" s="6" t="s">
        <v>775</v>
      </c>
      <c r="B193" s="24"/>
      <c r="C193" s="8"/>
      <c r="D193" s="15"/>
      <c r="E193" s="15"/>
      <c r="F193" s="15"/>
    </row>
    <row r="194" spans="1:6" x14ac:dyDescent="0.25">
      <c r="A194" s="7"/>
      <c r="B194" s="24"/>
      <c r="C194" s="8" t="s">
        <v>580</v>
      </c>
      <c r="D194" s="15"/>
      <c r="E194" s="15"/>
      <c r="F194" s="15"/>
    </row>
    <row r="195" spans="1:6" x14ac:dyDescent="0.25">
      <c r="A195" s="7"/>
      <c r="B195" s="24"/>
      <c r="C195" s="8"/>
      <c r="D195" s="15"/>
      <c r="E195" s="15"/>
      <c r="F195" s="15"/>
    </row>
    <row r="196" spans="1:6" x14ac:dyDescent="0.25">
      <c r="A196" s="7"/>
      <c r="B196" s="24"/>
      <c r="C196" s="8" t="s">
        <v>580</v>
      </c>
      <c r="D196" s="15"/>
      <c r="E196" s="15"/>
      <c r="F196" s="15"/>
    </row>
    <row r="197" spans="1:6" x14ac:dyDescent="0.25">
      <c r="A197" s="9">
        <v>480</v>
      </c>
      <c r="B197" s="26">
        <v>30</v>
      </c>
      <c r="C197" s="12">
        <f>-4.5-118</f>
        <v>-122.5</v>
      </c>
      <c r="D197" s="20">
        <f>-4.5-118</f>
        <v>-122.5</v>
      </c>
      <c r="E197" s="20" t="s">
        <v>582</v>
      </c>
      <c r="F197" s="20">
        <v>-245</v>
      </c>
    </row>
    <row r="198" spans="1:6" x14ac:dyDescent="0.25">
      <c r="A198" s="10" t="s">
        <v>776</v>
      </c>
      <c r="B198" s="26"/>
      <c r="C198" s="12"/>
      <c r="D198" s="20"/>
      <c r="E198" s="20"/>
      <c r="F198" s="20"/>
    </row>
    <row r="199" spans="1:6" x14ac:dyDescent="0.25">
      <c r="A199" s="11"/>
      <c r="B199" s="26"/>
      <c r="C199" s="12">
        <f>-4.5-115</f>
        <v>-119.5</v>
      </c>
      <c r="D199" s="20"/>
      <c r="E199" s="20"/>
      <c r="F199" s="20"/>
    </row>
    <row r="200" spans="1:6" x14ac:dyDescent="0.25">
      <c r="A200" s="11"/>
      <c r="B200" s="26"/>
      <c r="C200" s="12"/>
      <c r="D200" s="20"/>
      <c r="E200" s="20"/>
      <c r="F200" s="20"/>
    </row>
    <row r="201" spans="1:6" x14ac:dyDescent="0.25">
      <c r="A201" s="11"/>
      <c r="B201" s="26"/>
      <c r="C201" s="12">
        <f>-4.5-115</f>
        <v>-119.5</v>
      </c>
      <c r="D201" s="20"/>
      <c r="E201" s="20"/>
      <c r="F201" s="20"/>
    </row>
  </sheetData>
  <mergeCells count="128">
    <mergeCell ref="B192:B196"/>
    <mergeCell ref="D192:D196"/>
    <mergeCell ref="E192:E196"/>
    <mergeCell ref="F192:F196"/>
    <mergeCell ref="B197:B201"/>
    <mergeCell ref="D197:D201"/>
    <mergeCell ref="E197:E201"/>
    <mergeCell ref="F197:F201"/>
    <mergeCell ref="B179:B183"/>
    <mergeCell ref="D179:D183"/>
    <mergeCell ref="E179:E183"/>
    <mergeCell ref="F179:F183"/>
    <mergeCell ref="B184:B188"/>
    <mergeCell ref="D184:D188"/>
    <mergeCell ref="E184:E188"/>
    <mergeCell ref="F184:F188"/>
    <mergeCell ref="B167:B171"/>
    <mergeCell ref="D167:D171"/>
    <mergeCell ref="E167:E171"/>
    <mergeCell ref="F167:F171"/>
    <mergeCell ref="B172:B176"/>
    <mergeCell ref="D172:D176"/>
    <mergeCell ref="E172:E176"/>
    <mergeCell ref="F172:F176"/>
    <mergeCell ref="B155:B159"/>
    <mergeCell ref="D155:D159"/>
    <mergeCell ref="E155:E159"/>
    <mergeCell ref="F155:F159"/>
    <mergeCell ref="B160:B164"/>
    <mergeCell ref="D160:D164"/>
    <mergeCell ref="E160:E164"/>
    <mergeCell ref="F160:F164"/>
    <mergeCell ref="B143:B147"/>
    <mergeCell ref="D143:D147"/>
    <mergeCell ref="E143:E147"/>
    <mergeCell ref="F143:F147"/>
    <mergeCell ref="B148:B152"/>
    <mergeCell ref="D148:D152"/>
    <mergeCell ref="E148:E152"/>
    <mergeCell ref="F148:F152"/>
    <mergeCell ref="B131:B135"/>
    <mergeCell ref="D131:D135"/>
    <mergeCell ref="E131:E135"/>
    <mergeCell ref="F131:F135"/>
    <mergeCell ref="B136:B140"/>
    <mergeCell ref="D136:D140"/>
    <mergeCell ref="E136:E140"/>
    <mergeCell ref="F136:F140"/>
    <mergeCell ref="B119:B123"/>
    <mergeCell ref="D119:D123"/>
    <mergeCell ref="E119:E123"/>
    <mergeCell ref="F119:F123"/>
    <mergeCell ref="B124:B128"/>
    <mergeCell ref="D124:D128"/>
    <mergeCell ref="E124:E128"/>
    <mergeCell ref="F124:F128"/>
    <mergeCell ref="B107:B111"/>
    <mergeCell ref="D107:D111"/>
    <mergeCell ref="E107:E111"/>
    <mergeCell ref="F107:F111"/>
    <mergeCell ref="B112:B116"/>
    <mergeCell ref="D112:D116"/>
    <mergeCell ref="E112:E116"/>
    <mergeCell ref="F112:F116"/>
    <mergeCell ref="B95:B99"/>
    <mergeCell ref="D95:D99"/>
    <mergeCell ref="E95:E99"/>
    <mergeCell ref="F95:F99"/>
    <mergeCell ref="B100:B104"/>
    <mergeCell ref="D100:D104"/>
    <mergeCell ref="E100:E104"/>
    <mergeCell ref="F100:F104"/>
    <mergeCell ref="B83:B87"/>
    <mergeCell ref="D83:D87"/>
    <mergeCell ref="E83:E87"/>
    <mergeCell ref="F83:F87"/>
    <mergeCell ref="B88:B92"/>
    <mergeCell ref="D88:D92"/>
    <mergeCell ref="E88:E92"/>
    <mergeCell ref="F88:F92"/>
    <mergeCell ref="B71:B75"/>
    <mergeCell ref="D71:D75"/>
    <mergeCell ref="E71:E75"/>
    <mergeCell ref="F71:F75"/>
    <mergeCell ref="B76:B80"/>
    <mergeCell ref="D76:D80"/>
    <mergeCell ref="E76:E80"/>
    <mergeCell ref="F76:F80"/>
    <mergeCell ref="B59:B63"/>
    <mergeCell ref="D59:D63"/>
    <mergeCell ref="E59:E63"/>
    <mergeCell ref="F59:F63"/>
    <mergeCell ref="B64:B68"/>
    <mergeCell ref="D64:D68"/>
    <mergeCell ref="E64:E68"/>
    <mergeCell ref="F64:F68"/>
    <mergeCell ref="B47:B51"/>
    <mergeCell ref="D47:D51"/>
    <mergeCell ref="E47:E51"/>
    <mergeCell ref="F47:F51"/>
    <mergeCell ref="B52:B56"/>
    <mergeCell ref="D52:D56"/>
    <mergeCell ref="E52:E56"/>
    <mergeCell ref="F52:F56"/>
    <mergeCell ref="B35:B39"/>
    <mergeCell ref="D35:D39"/>
    <mergeCell ref="E35:E39"/>
    <mergeCell ref="F35:F39"/>
    <mergeCell ref="B40:B44"/>
    <mergeCell ref="D40:D44"/>
    <mergeCell ref="E40:E44"/>
    <mergeCell ref="F40:F44"/>
    <mergeCell ref="B23:B27"/>
    <mergeCell ref="D23:D27"/>
    <mergeCell ref="E23:E27"/>
    <mergeCell ref="F23:F27"/>
    <mergeCell ref="B28:B32"/>
    <mergeCell ref="D28:D32"/>
    <mergeCell ref="E28:E32"/>
    <mergeCell ref="F28:F32"/>
    <mergeCell ref="B9:B13"/>
    <mergeCell ref="D9:D13"/>
    <mergeCell ref="E9:E13"/>
    <mergeCell ref="F9:F13"/>
    <mergeCell ref="B14:B18"/>
    <mergeCell ref="D14:D18"/>
    <mergeCell ref="E14:E18"/>
    <mergeCell ref="F14:F18"/>
  </mergeCells>
  <hyperlinks>
    <hyperlink ref="A2" r:id="rId1" display="https://www.scoresandodds.com/nfl/odds" xr:uid="{98E93F0A-F4B3-4BD7-93BA-44BCA4546278}"/>
    <hyperlink ref="A3" r:id="rId2" display="https://www.scoresandodds.com/nfl/consensus-picks" xr:uid="{3AFEE076-583B-4C24-BBD6-6B7296A5F3C9}"/>
    <hyperlink ref="A4" r:id="rId3" display="https://www.scoresandodds.com/nfl/more-lines" xr:uid="{EAC32599-5231-4479-B4CE-4D1BA3DE885B}"/>
    <hyperlink ref="A5" r:id="rId4" display="https://www.scoresandodds.com/nfl/props" xr:uid="{BB93D443-2404-41CA-9FEF-97125238B4F6}"/>
    <hyperlink ref="A6" r:id="rId5" display="https://www.scoresandodds.com/nfl/parlays" xr:uid="{33F75C1B-25C7-4BC8-BE0F-FFBC17696670}"/>
    <hyperlink ref="A7" r:id="rId6" display="https://www.scoresandodds.com/nfl/picks" xr:uid="{90DE315E-7E8F-4C29-9498-B7D527C102A5}"/>
    <hyperlink ref="A10" r:id="rId7" display="https://www.scoresandodds.com/nfl/teams/dolphins" xr:uid="{904A2723-17FA-4DBC-BC13-4E65757D08E7}"/>
    <hyperlink ref="A15" r:id="rId8" display="https://www.scoresandodds.com/nfl/teams/bills" xr:uid="{F1D6CEDF-31F1-4CA5-A972-0EAC3C39B9CD}"/>
    <hyperlink ref="A24" r:id="rId9" display="https://www.scoresandodds.com/nfl/teams/jets" xr:uid="{647CF4AF-A6DC-4DB7-8C4D-494686C4827B}"/>
    <hyperlink ref="A29" r:id="rId10" display="https://www.scoresandodds.com/nfl/teams/buccaneers" xr:uid="{725CB124-39B2-4A55-9FD7-157A81610DAC}"/>
    <hyperlink ref="A36" r:id="rId11" display="https://www.scoresandodds.com/nfl/teams/raiders" xr:uid="{F5C58BC1-2420-4E9F-89CC-2E1418DF70C1}"/>
    <hyperlink ref="A41" r:id="rId12" display="https://www.scoresandodds.com/nfl/teams/commanders" xr:uid="{57F8CF54-C5DE-4A60-B068-C2ABE8554C75}"/>
    <hyperlink ref="A48" r:id="rId13" display="https://www.scoresandodds.com/nfl/teams/rams" xr:uid="{C51C56C1-69BE-45FB-8D7C-9DA8394A72F7}"/>
    <hyperlink ref="A53" r:id="rId14" display="https://www.scoresandodds.com/nfl/teams/eagles" xr:uid="{7EE3C986-6328-46F0-B999-78F98C2E94EB}"/>
    <hyperlink ref="A60" r:id="rId15" display="https://www.scoresandodds.com/nfl/teams/steelers" xr:uid="{4A5618FD-3D0E-481B-9B09-9B9DBFBF4796}"/>
    <hyperlink ref="A65" r:id="rId16" display="https://www.scoresandodds.com/nfl/teams/patriots" xr:uid="{45197D65-207B-4CBB-A589-19B2F4B8629B}"/>
    <hyperlink ref="A72" r:id="rId17" display="https://www.scoresandodds.com/nfl/teams/packers" xr:uid="{F3BF7BFB-0397-44AE-9611-4BECF1A0A7E9}"/>
    <hyperlink ref="A77" r:id="rId18" display="https://www.scoresandodds.com/nfl/teams/browns" xr:uid="{B386EFB7-4991-4733-A796-16CA77CA0F94}"/>
    <hyperlink ref="A84" r:id="rId19" display="https://www.scoresandodds.com/nfl/teams/falcons" xr:uid="{DBD097C8-84AE-4F55-820E-EA5ABBC9C1E8}"/>
    <hyperlink ref="A89" r:id="rId20" display="https://www.scoresandodds.com/nfl/teams/panthers" xr:uid="{E0710162-C93C-45D9-8CD3-376395C6675E}"/>
    <hyperlink ref="A96" r:id="rId21" display="https://www.scoresandodds.com/nfl/teams/colts" xr:uid="{52977F7E-4D53-4416-BC3F-4983BAD0E3DB}"/>
    <hyperlink ref="A101" r:id="rId22" display="https://www.scoresandodds.com/nfl/teams/titans" xr:uid="{46925D95-728F-4B40-A0D4-B55689F96991}"/>
    <hyperlink ref="A108" r:id="rId23" display="https://www.scoresandodds.com/nfl/teams/texans" xr:uid="{65A791D4-4802-45F3-A8E5-0222C02BB891}"/>
    <hyperlink ref="A113" r:id="rId24" display="https://www.scoresandodds.com/nfl/teams/jaguars" xr:uid="{01E91065-41E7-4415-877A-FEF7C4452369}"/>
    <hyperlink ref="A120" r:id="rId25" display="https://www.scoresandodds.com/nfl/teams/bengals" xr:uid="{4EB9CDAC-84F3-472F-B462-D7C774C5C712}"/>
    <hyperlink ref="A125" r:id="rId26" display="https://www.scoresandodds.com/nfl/teams/vikings" xr:uid="{B2A97573-8F20-40E6-8D88-1A403B53E292}"/>
    <hyperlink ref="A132" r:id="rId27" display="https://www.scoresandodds.com/nfl/teams/saints" xr:uid="{4606E986-AAA3-4083-A54C-A6F7617B0D6B}"/>
    <hyperlink ref="A137" r:id="rId28" display="https://www.scoresandodds.com/nfl/teams/seahawks" xr:uid="{5CE30F59-7F4C-4824-BF60-44048C657DF1}"/>
    <hyperlink ref="A144" r:id="rId29" display="https://www.scoresandodds.com/nfl/teams/broncos" xr:uid="{AF7D10BC-03A3-461B-878C-36B7254EE8A8}"/>
    <hyperlink ref="A149" r:id="rId30" display="https://www.scoresandodds.com/nfl/teams/chargers" xr:uid="{66677F7E-B1FA-43CB-B26D-623A55F8731D}"/>
    <hyperlink ref="A156" r:id="rId31" display="https://www.scoresandodds.com/nfl/teams/cowboys" xr:uid="{51EB4713-6738-4607-BF68-EAA485EEB54F}"/>
    <hyperlink ref="A161" r:id="rId32" display="https://www.scoresandodds.com/nfl/teams/bears" xr:uid="{64E5F113-DFD0-42B3-941A-9C4BC9E94CFB}"/>
    <hyperlink ref="A168" r:id="rId33" display="https://www.scoresandodds.com/nfl/teams/cardinals" xr:uid="{CD2000E0-F65E-4201-84DE-09A96A5DD16E}"/>
    <hyperlink ref="A173" r:id="rId34" display="https://www.scoresandodds.com/nfl/teams/49ers" xr:uid="{6422B1E2-85D0-4D8F-B931-3184410C3E83}"/>
    <hyperlink ref="A180" r:id="rId35" display="https://www.scoresandodds.com/nfl/teams/chiefs" xr:uid="{42C152C6-F2AC-4920-AEF4-2FE394178C25}"/>
    <hyperlink ref="A185" r:id="rId36" display="https://www.scoresandodds.com/nfl/teams/giants" xr:uid="{745B06B9-11D8-4535-8453-FFC0ADB24A20}"/>
    <hyperlink ref="A193" r:id="rId37" display="https://www.scoresandodds.com/nfl/teams/lions" xr:uid="{F2ECD741-25FA-484B-94E1-7ACCB4D63BBA}"/>
    <hyperlink ref="A198" r:id="rId38" display="https://www.scoresandodds.com/nfl/teams/ravens" xr:uid="{AFB978FD-9681-4EFD-A7E6-9A0F1A0B4F84}"/>
  </hyperlinks>
  <pageMargins left="0.7" right="0.7" top="0.75" bottom="0.75" header="0.3" footer="0.3"/>
  <drawing r:id="rId3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A2821-D4BE-4B5C-979E-6F12368856B5}">
  <dimension ref="A1:F106"/>
  <sheetViews>
    <sheetView workbookViewId="0">
      <selection sqref="A1:F106"/>
    </sheetView>
  </sheetViews>
  <sheetFormatPr baseColWidth="10" defaultRowHeight="15" x14ac:dyDescent="0.25"/>
  <cols>
    <col min="1" max="1" width="70.5703125" bestFit="1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3" spans="1:6" x14ac:dyDescent="0.25">
      <c r="A3" s="2" t="s">
        <v>2</v>
      </c>
    </row>
    <row r="4" spans="1:6" x14ac:dyDescent="0.25">
      <c r="A4" s="2" t="s">
        <v>3</v>
      </c>
    </row>
    <row r="5" spans="1:6" x14ac:dyDescent="0.25">
      <c r="A5" s="2" t="s">
        <v>4</v>
      </c>
    </row>
    <row r="6" spans="1:6" x14ac:dyDescent="0.25">
      <c r="A6" s="2" t="s">
        <v>5</v>
      </c>
    </row>
    <row r="7" spans="1:6" x14ac:dyDescent="0.25">
      <c r="A7" s="2" t="s">
        <v>6</v>
      </c>
    </row>
    <row r="8" spans="1:6" ht="15.75" thickBot="1" x14ac:dyDescent="0.3">
      <c r="A8" s="3" t="s">
        <v>725</v>
      </c>
      <c r="B8" s="4"/>
      <c r="C8" s="4" t="s">
        <v>8</v>
      </c>
      <c r="D8" s="4" t="s">
        <v>9</v>
      </c>
      <c r="E8" s="4" t="s">
        <v>10</v>
      </c>
      <c r="F8" s="4" t="s">
        <v>11</v>
      </c>
    </row>
    <row r="9" spans="1:6" x14ac:dyDescent="0.25">
      <c r="A9" s="5">
        <v>101</v>
      </c>
      <c r="B9" s="25">
        <v>23</v>
      </c>
      <c r="C9" s="32"/>
      <c r="D9" s="16">
        <f>-1.5-120</f>
        <v>-121.5</v>
      </c>
      <c r="E9" s="18" t="s">
        <v>637</v>
      </c>
      <c r="F9" s="16">
        <v>-135</v>
      </c>
    </row>
    <row r="10" spans="1:6" x14ac:dyDescent="0.25">
      <c r="A10" s="6" t="s">
        <v>670</v>
      </c>
      <c r="B10" s="24"/>
      <c r="C10" s="31"/>
      <c r="D10" s="15"/>
      <c r="E10" s="17"/>
      <c r="F10" s="15"/>
    </row>
    <row r="11" spans="1:6" x14ac:dyDescent="0.25">
      <c r="A11" s="9">
        <v>102</v>
      </c>
      <c r="B11" s="26">
        <v>20</v>
      </c>
      <c r="C11" s="33"/>
      <c r="D11" s="20">
        <f>1.5-110</f>
        <v>-108.5</v>
      </c>
      <c r="E11" s="21" t="s">
        <v>566</v>
      </c>
      <c r="F11" s="20">
        <v>105</v>
      </c>
    </row>
    <row r="12" spans="1:6" x14ac:dyDescent="0.25">
      <c r="A12" s="10" t="s">
        <v>658</v>
      </c>
      <c r="B12" s="26"/>
      <c r="C12" s="33"/>
      <c r="D12" s="20"/>
      <c r="E12" s="21"/>
      <c r="F12" s="20"/>
    </row>
    <row r="13" spans="1:6" ht="38.25" thickBot="1" x14ac:dyDescent="0.3">
      <c r="A13" s="22" t="s">
        <v>17</v>
      </c>
    </row>
    <row r="14" spans="1:6" ht="67.5" x14ac:dyDescent="0.25">
      <c r="A14" s="27" t="s">
        <v>116</v>
      </c>
    </row>
    <row r="15" spans="1:6" x14ac:dyDescent="0.25">
      <c r="A15" s="23" t="s">
        <v>102</v>
      </c>
    </row>
    <row r="16" spans="1:6" ht="15.75" thickBot="1" x14ac:dyDescent="0.3">
      <c r="A16" s="3" t="s">
        <v>726</v>
      </c>
      <c r="B16" s="4"/>
      <c r="C16" s="4" t="s">
        <v>8</v>
      </c>
      <c r="D16" s="4" t="s">
        <v>9</v>
      </c>
      <c r="E16" s="4" t="s">
        <v>10</v>
      </c>
      <c r="F16" s="4" t="s">
        <v>11</v>
      </c>
    </row>
    <row r="17" spans="1:6" x14ac:dyDescent="0.25">
      <c r="A17" s="5">
        <v>251</v>
      </c>
      <c r="B17" s="14">
        <v>21</v>
      </c>
      <c r="C17" s="32"/>
      <c r="D17" s="18">
        <f>-2.5-125</f>
        <v>-127.5</v>
      </c>
      <c r="E17" s="16" t="s">
        <v>216</v>
      </c>
      <c r="F17" s="18">
        <v>-142</v>
      </c>
    </row>
    <row r="18" spans="1:6" x14ac:dyDescent="0.25">
      <c r="A18" s="6" t="s">
        <v>584</v>
      </c>
      <c r="B18" s="13"/>
      <c r="C18" s="31"/>
      <c r="D18" s="17"/>
      <c r="E18" s="15"/>
      <c r="F18" s="17"/>
    </row>
    <row r="19" spans="1:6" x14ac:dyDescent="0.25">
      <c r="A19" s="9">
        <v>252</v>
      </c>
      <c r="B19" s="19">
        <v>24</v>
      </c>
      <c r="C19" s="33"/>
      <c r="D19" s="21">
        <f>2.5+105</f>
        <v>107.5</v>
      </c>
      <c r="E19" s="20" t="s">
        <v>220</v>
      </c>
      <c r="F19" s="21">
        <v>120</v>
      </c>
    </row>
    <row r="20" spans="1:6" x14ac:dyDescent="0.25">
      <c r="A20" s="10" t="s">
        <v>622</v>
      </c>
      <c r="B20" s="19"/>
      <c r="C20" s="33"/>
      <c r="D20" s="21"/>
      <c r="E20" s="20"/>
      <c r="F20" s="21"/>
    </row>
    <row r="21" spans="1:6" ht="37.5" x14ac:dyDescent="0.25">
      <c r="A21" s="22" t="s">
        <v>17</v>
      </c>
    </row>
    <row r="22" spans="1:6" ht="15.75" thickBot="1" x14ac:dyDescent="0.3">
      <c r="A22" s="3" t="s">
        <v>727</v>
      </c>
      <c r="B22" s="4"/>
      <c r="C22" s="4" t="s">
        <v>8</v>
      </c>
      <c r="D22" s="4" t="s">
        <v>9</v>
      </c>
      <c r="E22" s="4" t="s">
        <v>10</v>
      </c>
      <c r="F22" s="4" t="s">
        <v>11</v>
      </c>
    </row>
    <row r="23" spans="1:6" x14ac:dyDescent="0.25">
      <c r="A23" s="5">
        <v>259</v>
      </c>
      <c r="B23" s="14">
        <v>27</v>
      </c>
      <c r="C23" s="32"/>
      <c r="D23" s="18">
        <f>2.5-110</f>
        <v>-107.5</v>
      </c>
      <c r="E23" s="16" t="s">
        <v>39</v>
      </c>
      <c r="F23" s="18">
        <v>120</v>
      </c>
    </row>
    <row r="24" spans="1:6" x14ac:dyDescent="0.25">
      <c r="A24" s="6" t="s">
        <v>653</v>
      </c>
      <c r="B24" s="13"/>
      <c r="C24" s="31"/>
      <c r="D24" s="17"/>
      <c r="E24" s="15"/>
      <c r="F24" s="17"/>
    </row>
    <row r="25" spans="1:6" x14ac:dyDescent="0.25">
      <c r="A25" s="9">
        <v>260</v>
      </c>
      <c r="B25" s="19">
        <v>34</v>
      </c>
      <c r="C25" s="33"/>
      <c r="D25" s="21">
        <f>-2.5-110</f>
        <v>-112.5</v>
      </c>
      <c r="E25" s="20" t="s">
        <v>425</v>
      </c>
      <c r="F25" s="21">
        <v>-142</v>
      </c>
    </row>
    <row r="26" spans="1:6" x14ac:dyDescent="0.25">
      <c r="A26" s="10" t="s">
        <v>660</v>
      </c>
      <c r="B26" s="19"/>
      <c r="C26" s="33"/>
      <c r="D26" s="21"/>
      <c r="E26" s="20"/>
      <c r="F26" s="21"/>
    </row>
    <row r="27" spans="1:6" ht="37.5" x14ac:dyDescent="0.25">
      <c r="A27" s="22" t="s">
        <v>17</v>
      </c>
    </row>
    <row r="28" spans="1:6" ht="15.75" thickBot="1" x14ac:dyDescent="0.3">
      <c r="A28" s="3" t="s">
        <v>727</v>
      </c>
      <c r="B28" s="4"/>
      <c r="C28" s="4" t="s">
        <v>8</v>
      </c>
      <c r="D28" s="4" t="s">
        <v>9</v>
      </c>
      <c r="E28" s="4" t="s">
        <v>10</v>
      </c>
      <c r="F28" s="4" t="s">
        <v>11</v>
      </c>
    </row>
    <row r="29" spans="1:6" x14ac:dyDescent="0.25">
      <c r="A29" s="5">
        <v>253</v>
      </c>
      <c r="B29" s="25">
        <v>31</v>
      </c>
      <c r="C29" s="32"/>
      <c r="D29" s="16">
        <f>-3.5-102</f>
        <v>-105.5</v>
      </c>
      <c r="E29" s="16" t="s">
        <v>89</v>
      </c>
      <c r="F29" s="16">
        <v>-185</v>
      </c>
    </row>
    <row r="30" spans="1:6" x14ac:dyDescent="0.25">
      <c r="A30" s="6" t="s">
        <v>636</v>
      </c>
      <c r="B30" s="24"/>
      <c r="C30" s="31"/>
      <c r="D30" s="15"/>
      <c r="E30" s="15"/>
      <c r="F30" s="15"/>
    </row>
    <row r="31" spans="1:6" x14ac:dyDescent="0.25">
      <c r="A31" s="9">
        <v>254</v>
      </c>
      <c r="B31" s="26">
        <v>25</v>
      </c>
      <c r="C31" s="33"/>
      <c r="D31" s="20">
        <f>3.5-118</f>
        <v>-114.5</v>
      </c>
      <c r="E31" s="20" t="s">
        <v>87</v>
      </c>
      <c r="F31" s="20">
        <v>150</v>
      </c>
    </row>
    <row r="32" spans="1:6" x14ac:dyDescent="0.25">
      <c r="A32" s="10" t="s">
        <v>663</v>
      </c>
      <c r="B32" s="26"/>
      <c r="C32" s="33"/>
      <c r="D32" s="20"/>
      <c r="E32" s="20"/>
      <c r="F32" s="20"/>
    </row>
    <row r="33" spans="1:6" ht="37.5" x14ac:dyDescent="0.25">
      <c r="A33" s="22" t="s">
        <v>17</v>
      </c>
    </row>
    <row r="34" spans="1:6" ht="15.75" thickBot="1" x14ac:dyDescent="0.3">
      <c r="A34" s="3" t="s">
        <v>727</v>
      </c>
      <c r="B34" s="4"/>
      <c r="C34" s="4" t="s">
        <v>8</v>
      </c>
      <c r="D34" s="4" t="s">
        <v>9</v>
      </c>
      <c r="E34" s="4" t="s">
        <v>10</v>
      </c>
      <c r="F34" s="4" t="s">
        <v>11</v>
      </c>
    </row>
    <row r="35" spans="1:6" x14ac:dyDescent="0.25">
      <c r="A35" s="5">
        <v>255</v>
      </c>
      <c r="B35" s="14">
        <v>19</v>
      </c>
      <c r="C35" s="32"/>
      <c r="D35" s="16">
        <f>14.5-105</f>
        <v>-90.5</v>
      </c>
      <c r="E35" s="16" t="s">
        <v>24</v>
      </c>
      <c r="F35" s="18">
        <v>750</v>
      </c>
    </row>
    <row r="36" spans="1:6" x14ac:dyDescent="0.25">
      <c r="A36" s="6" t="s">
        <v>630</v>
      </c>
      <c r="B36" s="13"/>
      <c r="C36" s="31"/>
      <c r="D36" s="15"/>
      <c r="E36" s="15"/>
      <c r="F36" s="17"/>
    </row>
    <row r="37" spans="1:6" x14ac:dyDescent="0.25">
      <c r="A37" s="9">
        <v>256</v>
      </c>
      <c r="B37" s="19">
        <v>31</v>
      </c>
      <c r="C37" s="33"/>
      <c r="D37" s="20">
        <f>-14.5-115</f>
        <v>-129.5</v>
      </c>
      <c r="E37" s="20" t="s">
        <v>497</v>
      </c>
      <c r="F37" s="21">
        <v>-1450</v>
      </c>
    </row>
    <row r="38" spans="1:6" x14ac:dyDescent="0.25">
      <c r="A38" s="10" t="s">
        <v>711</v>
      </c>
      <c r="B38" s="19"/>
      <c r="C38" s="33"/>
      <c r="D38" s="20"/>
      <c r="E38" s="20"/>
      <c r="F38" s="21"/>
    </row>
    <row r="39" spans="1:6" ht="37.5" x14ac:dyDescent="0.25">
      <c r="A39" s="22" t="s">
        <v>17</v>
      </c>
    </row>
    <row r="40" spans="1:6" ht="15.75" thickBot="1" x14ac:dyDescent="0.3">
      <c r="A40" s="3" t="s">
        <v>727</v>
      </c>
      <c r="B40" s="4"/>
      <c r="C40" s="4" t="s">
        <v>8</v>
      </c>
      <c r="D40" s="4" t="s">
        <v>9</v>
      </c>
      <c r="E40" s="4" t="s">
        <v>10</v>
      </c>
      <c r="F40" s="4" t="s">
        <v>11</v>
      </c>
    </row>
    <row r="41" spans="1:6" x14ac:dyDescent="0.25">
      <c r="A41" s="5">
        <v>263</v>
      </c>
      <c r="B41" s="14">
        <v>0</v>
      </c>
      <c r="C41" s="32"/>
      <c r="D41" s="18">
        <f>7.5-115</f>
        <v>-107.5</v>
      </c>
      <c r="E41" s="18" t="s">
        <v>198</v>
      </c>
      <c r="F41" s="18">
        <v>340</v>
      </c>
    </row>
    <row r="42" spans="1:6" x14ac:dyDescent="0.25">
      <c r="A42" s="6" t="s">
        <v>642</v>
      </c>
      <c r="B42" s="13"/>
      <c r="C42" s="31"/>
      <c r="D42" s="17"/>
      <c r="E42" s="17"/>
      <c r="F42" s="17"/>
    </row>
    <row r="43" spans="1:6" x14ac:dyDescent="0.25">
      <c r="A43" s="9">
        <v>264</v>
      </c>
      <c r="B43" s="19">
        <v>26</v>
      </c>
      <c r="C43" s="33"/>
      <c r="D43" s="21">
        <f>-7.5-105</f>
        <v>-112.5</v>
      </c>
      <c r="E43" s="21" t="s">
        <v>200</v>
      </c>
      <c r="F43" s="21">
        <v>-455</v>
      </c>
    </row>
    <row r="44" spans="1:6" x14ac:dyDescent="0.25">
      <c r="A44" s="10" t="s">
        <v>669</v>
      </c>
      <c r="B44" s="19"/>
      <c r="C44" s="33"/>
      <c r="D44" s="21"/>
      <c r="E44" s="21"/>
      <c r="F44" s="21"/>
    </row>
    <row r="45" spans="1:6" ht="37.5" x14ac:dyDescent="0.25">
      <c r="A45" s="22" t="s">
        <v>17</v>
      </c>
    </row>
    <row r="46" spans="1:6" ht="15.75" thickBot="1" x14ac:dyDescent="0.3">
      <c r="A46" s="3" t="s">
        <v>727</v>
      </c>
      <c r="B46" s="4"/>
      <c r="C46" s="4" t="s">
        <v>8</v>
      </c>
      <c r="D46" s="4" t="s">
        <v>9</v>
      </c>
      <c r="E46" s="4" t="s">
        <v>10</v>
      </c>
      <c r="F46" s="4" t="s">
        <v>11</v>
      </c>
    </row>
    <row r="47" spans="1:6" x14ac:dyDescent="0.25">
      <c r="A47" s="5">
        <v>257</v>
      </c>
      <c r="B47" s="14">
        <v>13</v>
      </c>
      <c r="C47" s="32"/>
      <c r="D47" s="18">
        <f>5.5-108</f>
        <v>-102.5</v>
      </c>
      <c r="E47" s="16" t="s">
        <v>316</v>
      </c>
      <c r="F47" s="18">
        <v>195</v>
      </c>
    </row>
    <row r="48" spans="1:6" x14ac:dyDescent="0.25">
      <c r="A48" s="6" t="s">
        <v>632</v>
      </c>
      <c r="B48" s="13"/>
      <c r="C48" s="31"/>
      <c r="D48" s="17"/>
      <c r="E48" s="15"/>
      <c r="F48" s="17"/>
    </row>
    <row r="49" spans="1:6" x14ac:dyDescent="0.25">
      <c r="A49" s="9">
        <v>258</v>
      </c>
      <c r="B49" s="19">
        <v>42</v>
      </c>
      <c r="C49" s="33"/>
      <c r="D49" s="21">
        <f>-5.5-120</f>
        <v>-125.5</v>
      </c>
      <c r="E49" s="20" t="s">
        <v>728</v>
      </c>
      <c r="F49" s="21">
        <v>-265</v>
      </c>
    </row>
    <row r="50" spans="1:6" x14ac:dyDescent="0.25">
      <c r="A50" s="10" t="s">
        <v>641</v>
      </c>
      <c r="B50" s="19"/>
      <c r="C50" s="33"/>
      <c r="D50" s="21"/>
      <c r="E50" s="20"/>
      <c r="F50" s="21"/>
    </row>
    <row r="51" spans="1:6" ht="37.5" x14ac:dyDescent="0.25">
      <c r="A51" s="22" t="s">
        <v>17</v>
      </c>
    </row>
    <row r="52" spans="1:6" ht="15.75" thickBot="1" x14ac:dyDescent="0.3">
      <c r="A52" s="3" t="s">
        <v>727</v>
      </c>
      <c r="B52" s="4"/>
      <c r="C52" s="4" t="s">
        <v>8</v>
      </c>
      <c r="D52" s="4" t="s">
        <v>9</v>
      </c>
      <c r="E52" s="4" t="s">
        <v>10</v>
      </c>
      <c r="F52" s="4" t="s">
        <v>11</v>
      </c>
    </row>
    <row r="53" spans="1:6" x14ac:dyDescent="0.25">
      <c r="A53" s="5">
        <v>265</v>
      </c>
      <c r="B53" s="14">
        <v>18</v>
      </c>
      <c r="C53" s="32"/>
      <c r="D53" s="18">
        <f>-5.5-108</f>
        <v>-113.5</v>
      </c>
      <c r="E53" s="18" t="s">
        <v>130</v>
      </c>
      <c r="F53" s="18">
        <v>-258</v>
      </c>
    </row>
    <row r="54" spans="1:6" x14ac:dyDescent="0.25">
      <c r="A54" s="6" t="s">
        <v>585</v>
      </c>
      <c r="B54" s="13"/>
      <c r="C54" s="31"/>
      <c r="D54" s="17"/>
      <c r="E54" s="17"/>
      <c r="F54" s="17"/>
    </row>
    <row r="55" spans="1:6" x14ac:dyDescent="0.25">
      <c r="A55" s="9">
        <v>266</v>
      </c>
      <c r="B55" s="19">
        <v>21</v>
      </c>
      <c r="C55" s="33"/>
      <c r="D55" s="21">
        <f>5.5-112</f>
        <v>-106.5</v>
      </c>
      <c r="E55" s="21" t="s">
        <v>133</v>
      </c>
      <c r="F55" s="21">
        <v>210</v>
      </c>
    </row>
    <row r="56" spans="1:6" x14ac:dyDescent="0.25">
      <c r="A56" s="10" t="s">
        <v>648</v>
      </c>
      <c r="B56" s="19"/>
      <c r="C56" s="33"/>
      <c r="D56" s="21"/>
      <c r="E56" s="21"/>
      <c r="F56" s="21"/>
    </row>
    <row r="57" spans="1:6" ht="37.5" x14ac:dyDescent="0.25">
      <c r="A57" s="22" t="s">
        <v>17</v>
      </c>
    </row>
    <row r="58" spans="1:6" ht="15.75" thickBot="1" x14ac:dyDescent="0.3">
      <c r="A58" s="3" t="s">
        <v>727</v>
      </c>
      <c r="B58" s="4"/>
      <c r="C58" s="4" t="s">
        <v>8</v>
      </c>
      <c r="D58" s="4" t="s">
        <v>9</v>
      </c>
      <c r="E58" s="4" t="s">
        <v>10</v>
      </c>
      <c r="F58" s="4" t="s">
        <v>11</v>
      </c>
    </row>
    <row r="59" spans="1:6" x14ac:dyDescent="0.25">
      <c r="A59" s="5">
        <v>261</v>
      </c>
      <c r="B59" s="14">
        <v>10</v>
      </c>
      <c r="C59" s="32"/>
      <c r="D59" s="18">
        <f>10-110</f>
        <v>-100</v>
      </c>
      <c r="E59" s="18" t="s">
        <v>188</v>
      </c>
      <c r="F59" s="18">
        <v>410</v>
      </c>
    </row>
    <row r="60" spans="1:6" x14ac:dyDescent="0.25">
      <c r="A60" s="6" t="s">
        <v>640</v>
      </c>
      <c r="B60" s="13"/>
      <c r="C60" s="31"/>
      <c r="D60" s="17"/>
      <c r="E60" s="17"/>
      <c r="F60" s="17"/>
    </row>
    <row r="61" spans="1:6" x14ac:dyDescent="0.25">
      <c r="A61" s="9">
        <v>262</v>
      </c>
      <c r="B61" s="19">
        <v>34</v>
      </c>
      <c r="C61" s="33"/>
      <c r="D61" s="21">
        <f>-10-110</f>
        <v>-120</v>
      </c>
      <c r="E61" s="21" t="s">
        <v>195</v>
      </c>
      <c r="F61" s="21">
        <v>-535</v>
      </c>
    </row>
    <row r="62" spans="1:6" x14ac:dyDescent="0.25">
      <c r="A62" s="10" t="s">
        <v>665</v>
      </c>
      <c r="B62" s="19"/>
      <c r="C62" s="33"/>
      <c r="D62" s="21"/>
      <c r="E62" s="21"/>
      <c r="F62" s="21"/>
    </row>
    <row r="63" spans="1:6" ht="37.5" x14ac:dyDescent="0.25">
      <c r="A63" s="22" t="s">
        <v>17</v>
      </c>
    </row>
    <row r="64" spans="1:6" ht="15.75" thickBot="1" x14ac:dyDescent="0.3">
      <c r="A64" s="3" t="s">
        <v>729</v>
      </c>
      <c r="B64" s="4"/>
      <c r="C64" s="4" t="s">
        <v>8</v>
      </c>
      <c r="D64" s="4" t="s">
        <v>9</v>
      </c>
      <c r="E64" s="4" t="s">
        <v>10</v>
      </c>
      <c r="F64" s="4" t="s">
        <v>11</v>
      </c>
    </row>
    <row r="65" spans="1:6" x14ac:dyDescent="0.25">
      <c r="A65" s="5">
        <v>267</v>
      </c>
      <c r="B65" s="25">
        <v>26</v>
      </c>
      <c r="C65" s="32"/>
      <c r="D65" s="16">
        <f>3.5-120</f>
        <v>-116.5</v>
      </c>
      <c r="E65" s="16" t="s">
        <v>258</v>
      </c>
      <c r="F65" s="16">
        <v>150</v>
      </c>
    </row>
    <row r="66" spans="1:6" x14ac:dyDescent="0.25">
      <c r="A66" s="6" t="s">
        <v>628</v>
      </c>
      <c r="B66" s="24"/>
      <c r="C66" s="31"/>
      <c r="D66" s="15"/>
      <c r="E66" s="15"/>
      <c r="F66" s="15"/>
    </row>
    <row r="67" spans="1:6" x14ac:dyDescent="0.25">
      <c r="A67" s="9">
        <v>268</v>
      </c>
      <c r="B67" s="26">
        <v>21</v>
      </c>
      <c r="C67" s="33"/>
      <c r="D67" s="20" t="s">
        <v>211</v>
      </c>
      <c r="E67" s="20" t="s">
        <v>539</v>
      </c>
      <c r="F67" s="20">
        <v>-185</v>
      </c>
    </row>
    <row r="68" spans="1:6" x14ac:dyDescent="0.25">
      <c r="A68" s="10" t="s">
        <v>661</v>
      </c>
      <c r="B68" s="26"/>
      <c r="C68" s="33"/>
      <c r="D68" s="20"/>
      <c r="E68" s="20"/>
      <c r="F68" s="20"/>
    </row>
    <row r="69" spans="1:6" ht="37.5" x14ac:dyDescent="0.25">
      <c r="A69" s="22" t="s">
        <v>17</v>
      </c>
    </row>
    <row r="70" spans="1:6" ht="15.75" thickBot="1" x14ac:dyDescent="0.3">
      <c r="A70" s="3" t="s">
        <v>729</v>
      </c>
      <c r="B70" s="4"/>
      <c r="C70" s="4" t="s">
        <v>8</v>
      </c>
      <c r="D70" s="4" t="s">
        <v>9</v>
      </c>
      <c r="E70" s="4" t="s">
        <v>10</v>
      </c>
      <c r="F70" s="4" t="s">
        <v>11</v>
      </c>
    </row>
    <row r="71" spans="1:6" x14ac:dyDescent="0.25">
      <c r="A71" s="5">
        <v>269</v>
      </c>
      <c r="B71" s="14">
        <v>20</v>
      </c>
      <c r="C71" s="32"/>
      <c r="D71" s="18">
        <f>3.5-105</f>
        <v>-101.5</v>
      </c>
      <c r="E71" s="18" t="s">
        <v>278</v>
      </c>
      <c r="F71" s="18">
        <v>154</v>
      </c>
    </row>
    <row r="72" spans="1:6" x14ac:dyDescent="0.25">
      <c r="A72" s="6" t="s">
        <v>650</v>
      </c>
      <c r="B72" s="13"/>
      <c r="C72" s="31"/>
      <c r="D72" s="17"/>
      <c r="E72" s="17"/>
      <c r="F72" s="17"/>
    </row>
    <row r="73" spans="1:6" x14ac:dyDescent="0.25">
      <c r="A73" s="9">
        <v>270</v>
      </c>
      <c r="B73" s="19">
        <v>27</v>
      </c>
      <c r="C73" s="33"/>
      <c r="D73" s="21">
        <f>-3.5-115</f>
        <v>-118.5</v>
      </c>
      <c r="E73" s="21" t="s">
        <v>280</v>
      </c>
      <c r="F73" s="21">
        <v>-192</v>
      </c>
    </row>
    <row r="74" spans="1:6" x14ac:dyDescent="0.25">
      <c r="A74" s="10" t="s">
        <v>627</v>
      </c>
      <c r="B74" s="19"/>
      <c r="C74" s="33"/>
      <c r="D74" s="21"/>
      <c r="E74" s="21"/>
      <c r="F74" s="21"/>
    </row>
    <row r="75" spans="1:6" ht="37.5" x14ac:dyDescent="0.25">
      <c r="A75" s="22" t="s">
        <v>17</v>
      </c>
    </row>
    <row r="76" spans="1:6" ht="15.75" thickBot="1" x14ac:dyDescent="0.3">
      <c r="A76" s="3" t="s">
        <v>730</v>
      </c>
      <c r="B76" s="4"/>
      <c r="C76" s="4" t="s">
        <v>8</v>
      </c>
      <c r="D76" s="4" t="s">
        <v>9</v>
      </c>
      <c r="E76" s="4" t="s">
        <v>10</v>
      </c>
      <c r="F76" s="4" t="s">
        <v>11</v>
      </c>
    </row>
    <row r="77" spans="1:6" x14ac:dyDescent="0.25">
      <c r="A77" s="5">
        <v>271</v>
      </c>
      <c r="B77" s="25">
        <v>25</v>
      </c>
      <c r="C77" s="32"/>
      <c r="D77" s="16">
        <f>1.5-110</f>
        <v>-108.5</v>
      </c>
      <c r="E77" s="16" t="s">
        <v>244</v>
      </c>
      <c r="F77" s="16">
        <v>105</v>
      </c>
    </row>
    <row r="78" spans="1:6" x14ac:dyDescent="0.25">
      <c r="A78" s="6" t="s">
        <v>631</v>
      </c>
      <c r="B78" s="24"/>
      <c r="C78" s="31"/>
      <c r="D78" s="15"/>
      <c r="E78" s="15"/>
      <c r="F78" s="15"/>
    </row>
    <row r="79" spans="1:6" x14ac:dyDescent="0.25">
      <c r="A79" s="9">
        <v>272</v>
      </c>
      <c r="B79" s="26">
        <v>24</v>
      </c>
      <c r="C79" s="33"/>
      <c r="D79" s="20">
        <f>-1.5-110</f>
        <v>-111.5</v>
      </c>
      <c r="E79" s="20" t="s">
        <v>25</v>
      </c>
      <c r="F79" s="20">
        <v>-125</v>
      </c>
    </row>
    <row r="80" spans="1:6" x14ac:dyDescent="0.25">
      <c r="A80" s="10" t="s">
        <v>643</v>
      </c>
      <c r="B80" s="26"/>
      <c r="C80" s="33"/>
      <c r="D80" s="20"/>
      <c r="E80" s="20"/>
      <c r="F80" s="20"/>
    </row>
    <row r="81" spans="1:6" ht="37.5" x14ac:dyDescent="0.25">
      <c r="A81" s="22" t="s">
        <v>17</v>
      </c>
    </row>
    <row r="82" spans="1:6" ht="15.75" thickBot="1" x14ac:dyDescent="0.3">
      <c r="A82" s="3" t="s">
        <v>730</v>
      </c>
      <c r="B82" s="4"/>
      <c r="C82" s="4" t="s">
        <v>8</v>
      </c>
      <c r="D82" s="4" t="s">
        <v>9</v>
      </c>
      <c r="E82" s="4" t="s">
        <v>10</v>
      </c>
      <c r="F82" s="4" t="s">
        <v>11</v>
      </c>
    </row>
    <row r="83" spans="1:6" x14ac:dyDescent="0.25">
      <c r="A83" s="5">
        <v>273</v>
      </c>
      <c r="B83" s="14">
        <v>20</v>
      </c>
      <c r="C83" s="32"/>
      <c r="D83" s="18">
        <f>-2.5-120</f>
        <v>-122.5</v>
      </c>
      <c r="E83" s="16" t="s">
        <v>731</v>
      </c>
      <c r="F83" s="18">
        <v>-148</v>
      </c>
    </row>
    <row r="84" spans="1:6" x14ac:dyDescent="0.25">
      <c r="A84" s="6" t="s">
        <v>687</v>
      </c>
      <c r="B84" s="13"/>
      <c r="C84" s="31"/>
      <c r="D84" s="17"/>
      <c r="E84" s="15"/>
      <c r="F84" s="17"/>
    </row>
    <row r="85" spans="1:6" x14ac:dyDescent="0.25">
      <c r="A85" s="9">
        <v>274</v>
      </c>
      <c r="B85" s="19">
        <v>37</v>
      </c>
      <c r="C85" s="33"/>
      <c r="D85" s="21" t="s">
        <v>26</v>
      </c>
      <c r="E85" s="20" t="s">
        <v>732</v>
      </c>
      <c r="F85" s="21">
        <v>124</v>
      </c>
    </row>
    <row r="86" spans="1:6" x14ac:dyDescent="0.25">
      <c r="A86" s="10" t="s">
        <v>645</v>
      </c>
      <c r="B86" s="19"/>
      <c r="C86" s="33"/>
      <c r="D86" s="21"/>
      <c r="E86" s="20"/>
      <c r="F86" s="21"/>
    </row>
    <row r="87" spans="1:6" ht="37.5" x14ac:dyDescent="0.25">
      <c r="A87" s="22" t="s">
        <v>17</v>
      </c>
    </row>
    <row r="88" spans="1:6" ht="15.75" thickBot="1" x14ac:dyDescent="0.3">
      <c r="A88" s="3" t="s">
        <v>733</v>
      </c>
      <c r="B88" s="4"/>
      <c r="C88" s="4" t="s">
        <v>8</v>
      </c>
      <c r="D88" s="4" t="s">
        <v>9</v>
      </c>
      <c r="E88" s="4" t="s">
        <v>10</v>
      </c>
      <c r="F88" s="4" t="s">
        <v>11</v>
      </c>
    </row>
    <row r="89" spans="1:6" x14ac:dyDescent="0.25">
      <c r="A89" s="5">
        <v>275</v>
      </c>
      <c r="B89" s="35">
        <v>40</v>
      </c>
      <c r="C89" s="32"/>
      <c r="D89" s="18">
        <f>-7-102</f>
        <v>-109</v>
      </c>
      <c r="E89" s="16" t="s">
        <v>463</v>
      </c>
      <c r="F89" s="29">
        <v>-360</v>
      </c>
    </row>
    <row r="90" spans="1:6" x14ac:dyDescent="0.25">
      <c r="A90" s="6" t="s">
        <v>657</v>
      </c>
      <c r="B90" s="34"/>
      <c r="C90" s="31"/>
      <c r="D90" s="17"/>
      <c r="E90" s="15"/>
      <c r="F90" s="28"/>
    </row>
    <row r="91" spans="1:6" x14ac:dyDescent="0.25">
      <c r="A91" s="9">
        <v>276</v>
      </c>
      <c r="B91" s="36">
        <v>40</v>
      </c>
      <c r="C91" s="33"/>
      <c r="D91" s="21">
        <f>7-118</f>
        <v>-111</v>
      </c>
      <c r="E91" s="20" t="s">
        <v>428</v>
      </c>
      <c r="F91" s="30">
        <v>275</v>
      </c>
    </row>
    <row r="92" spans="1:6" x14ac:dyDescent="0.25">
      <c r="A92" s="10" t="s">
        <v>655</v>
      </c>
      <c r="B92" s="36"/>
      <c r="C92" s="33"/>
      <c r="D92" s="21"/>
      <c r="E92" s="20"/>
      <c r="F92" s="30"/>
    </row>
    <row r="93" spans="1:6" ht="38.25" thickBot="1" x14ac:dyDescent="0.3">
      <c r="A93" s="22" t="s">
        <v>17</v>
      </c>
    </row>
    <row r="94" spans="1:6" ht="56.25" x14ac:dyDescent="0.25">
      <c r="A94" s="27" t="s">
        <v>174</v>
      </c>
    </row>
    <row r="95" spans="1:6" ht="15.75" thickBot="1" x14ac:dyDescent="0.3">
      <c r="A95" s="3" t="s">
        <v>734</v>
      </c>
      <c r="B95" s="4"/>
      <c r="C95" s="4" t="s">
        <v>8</v>
      </c>
      <c r="D95" s="4" t="s">
        <v>9</v>
      </c>
      <c r="E95" s="4" t="s">
        <v>10</v>
      </c>
      <c r="F95" s="4" t="s">
        <v>11</v>
      </c>
    </row>
    <row r="96" spans="1:6" x14ac:dyDescent="0.25">
      <c r="A96" s="5">
        <v>277</v>
      </c>
      <c r="B96" s="14">
        <v>21</v>
      </c>
      <c r="C96" s="32"/>
      <c r="D96" s="18">
        <f>2.5-110</f>
        <v>-107.5</v>
      </c>
      <c r="E96" s="16" t="s">
        <v>637</v>
      </c>
      <c r="F96" s="18">
        <v>120</v>
      </c>
    </row>
    <row r="97" spans="1:6" x14ac:dyDescent="0.25">
      <c r="A97" s="6" t="s">
        <v>634</v>
      </c>
      <c r="B97" s="13"/>
      <c r="C97" s="31"/>
      <c r="D97" s="17"/>
      <c r="E97" s="15"/>
      <c r="F97" s="17"/>
    </row>
    <row r="98" spans="1:6" x14ac:dyDescent="0.25">
      <c r="A98" s="9">
        <v>278</v>
      </c>
      <c r="B98" s="19">
        <v>27</v>
      </c>
      <c r="C98" s="33"/>
      <c r="D98" s="21">
        <f>-2.5-120</f>
        <v>-122.5</v>
      </c>
      <c r="E98" s="20" t="s">
        <v>187</v>
      </c>
      <c r="F98" s="21">
        <v>-154</v>
      </c>
    </row>
    <row r="99" spans="1:6" x14ac:dyDescent="0.25">
      <c r="A99" s="10" t="s">
        <v>639</v>
      </c>
      <c r="B99" s="19"/>
      <c r="C99" s="33"/>
      <c r="D99" s="21"/>
      <c r="E99" s="20"/>
      <c r="F99" s="21"/>
    </row>
    <row r="100" spans="1:6" ht="38.25" thickBot="1" x14ac:dyDescent="0.3">
      <c r="A100" s="22" t="s">
        <v>17</v>
      </c>
    </row>
    <row r="101" spans="1:6" ht="45" x14ac:dyDescent="0.25">
      <c r="A101" s="27" t="s">
        <v>714</v>
      </c>
    </row>
    <row r="102" spans="1:6" ht="15.75" thickBot="1" x14ac:dyDescent="0.3">
      <c r="A102" s="3" t="s">
        <v>735</v>
      </c>
      <c r="B102" s="4"/>
      <c r="C102" s="4" t="s">
        <v>8</v>
      </c>
      <c r="D102" s="4" t="s">
        <v>9</v>
      </c>
      <c r="E102" s="4" t="s">
        <v>10</v>
      </c>
      <c r="F102" s="4" t="s">
        <v>11</v>
      </c>
    </row>
    <row r="103" spans="1:6" x14ac:dyDescent="0.25">
      <c r="A103" s="5">
        <v>279</v>
      </c>
      <c r="B103" s="14">
        <v>3</v>
      </c>
      <c r="C103" s="32"/>
      <c r="D103" s="18">
        <f>7-105</f>
        <v>-98</v>
      </c>
      <c r="E103" s="18" t="s">
        <v>192</v>
      </c>
      <c r="F103" s="18">
        <v>340</v>
      </c>
    </row>
    <row r="104" spans="1:6" x14ac:dyDescent="0.25">
      <c r="A104" s="6" t="s">
        <v>624</v>
      </c>
      <c r="B104" s="13"/>
      <c r="C104" s="31"/>
      <c r="D104" s="17"/>
      <c r="E104" s="17"/>
      <c r="F104" s="17"/>
    </row>
    <row r="105" spans="1:6" x14ac:dyDescent="0.25">
      <c r="A105" s="9">
        <v>280</v>
      </c>
      <c r="B105" s="19">
        <v>28</v>
      </c>
      <c r="C105" s="33"/>
      <c r="D105" s="21">
        <f>-7-115</f>
        <v>-122</v>
      </c>
      <c r="E105" s="21" t="s">
        <v>108</v>
      </c>
      <c r="F105" s="21">
        <v>-470</v>
      </c>
    </row>
    <row r="106" spans="1:6" x14ac:dyDescent="0.25">
      <c r="A106" s="10" t="s">
        <v>649</v>
      </c>
      <c r="B106" s="19"/>
      <c r="C106" s="33"/>
      <c r="D106" s="21"/>
      <c r="E106" s="21"/>
      <c r="F106" s="21"/>
    </row>
  </sheetData>
  <mergeCells count="160">
    <mergeCell ref="B103:B104"/>
    <mergeCell ref="C103:C104"/>
    <mergeCell ref="D103:D104"/>
    <mergeCell ref="E103:E104"/>
    <mergeCell ref="F103:F104"/>
    <mergeCell ref="B105:B106"/>
    <mergeCell ref="C105:C106"/>
    <mergeCell ref="D105:D106"/>
    <mergeCell ref="E105:E106"/>
    <mergeCell ref="F105:F106"/>
    <mergeCell ref="B96:B97"/>
    <mergeCell ref="C96:C97"/>
    <mergeCell ref="D96:D97"/>
    <mergeCell ref="E96:E97"/>
    <mergeCell ref="F96:F97"/>
    <mergeCell ref="B98:B99"/>
    <mergeCell ref="C98:C99"/>
    <mergeCell ref="D98:D99"/>
    <mergeCell ref="E98:E99"/>
    <mergeCell ref="F98:F99"/>
    <mergeCell ref="B89:B90"/>
    <mergeCell ref="C89:C90"/>
    <mergeCell ref="D89:D90"/>
    <mergeCell ref="E89:E90"/>
    <mergeCell ref="F89:F90"/>
    <mergeCell ref="B91:B92"/>
    <mergeCell ref="C91:C92"/>
    <mergeCell ref="D91:D92"/>
    <mergeCell ref="E91:E92"/>
    <mergeCell ref="F91:F92"/>
    <mergeCell ref="B83:B84"/>
    <mergeCell ref="C83:C84"/>
    <mergeCell ref="D83:D84"/>
    <mergeCell ref="E83:E84"/>
    <mergeCell ref="F83:F84"/>
    <mergeCell ref="B85:B86"/>
    <mergeCell ref="C85:C86"/>
    <mergeCell ref="D85:D86"/>
    <mergeCell ref="E85:E86"/>
    <mergeCell ref="F85:F86"/>
    <mergeCell ref="B77:B78"/>
    <mergeCell ref="C77:C78"/>
    <mergeCell ref="D77:D78"/>
    <mergeCell ref="E77:E78"/>
    <mergeCell ref="F77:F78"/>
    <mergeCell ref="B79:B80"/>
    <mergeCell ref="C79:C80"/>
    <mergeCell ref="D79:D80"/>
    <mergeCell ref="E79:E80"/>
    <mergeCell ref="F79:F80"/>
    <mergeCell ref="B71:B72"/>
    <mergeCell ref="C71:C72"/>
    <mergeCell ref="D71:D72"/>
    <mergeCell ref="E71:E72"/>
    <mergeCell ref="F71:F72"/>
    <mergeCell ref="B73:B74"/>
    <mergeCell ref="C73:C74"/>
    <mergeCell ref="D73:D74"/>
    <mergeCell ref="E73:E74"/>
    <mergeCell ref="F73:F74"/>
    <mergeCell ref="B65:B66"/>
    <mergeCell ref="C65:C66"/>
    <mergeCell ref="D65:D66"/>
    <mergeCell ref="E65:E66"/>
    <mergeCell ref="F65:F66"/>
    <mergeCell ref="B67:B68"/>
    <mergeCell ref="C67:C68"/>
    <mergeCell ref="D67:D68"/>
    <mergeCell ref="E67:E68"/>
    <mergeCell ref="F67:F68"/>
    <mergeCell ref="B59:B60"/>
    <mergeCell ref="C59:C60"/>
    <mergeCell ref="D59:D60"/>
    <mergeCell ref="E59:E60"/>
    <mergeCell ref="F59:F60"/>
    <mergeCell ref="B61:B62"/>
    <mergeCell ref="C61:C62"/>
    <mergeCell ref="D61:D62"/>
    <mergeCell ref="E61:E62"/>
    <mergeCell ref="F61:F62"/>
    <mergeCell ref="B53:B54"/>
    <mergeCell ref="C53:C54"/>
    <mergeCell ref="D53:D54"/>
    <mergeCell ref="E53:E54"/>
    <mergeCell ref="F53:F54"/>
    <mergeCell ref="B55:B56"/>
    <mergeCell ref="C55:C56"/>
    <mergeCell ref="D55:D56"/>
    <mergeCell ref="E55:E56"/>
    <mergeCell ref="F55:F56"/>
    <mergeCell ref="B47:B48"/>
    <mergeCell ref="C47:C48"/>
    <mergeCell ref="D47:D48"/>
    <mergeCell ref="E47:E48"/>
    <mergeCell ref="F47:F48"/>
    <mergeCell ref="B49:B50"/>
    <mergeCell ref="C49:C50"/>
    <mergeCell ref="D49:D50"/>
    <mergeCell ref="E49:E50"/>
    <mergeCell ref="F49:F50"/>
    <mergeCell ref="B41:B42"/>
    <mergeCell ref="C41:C42"/>
    <mergeCell ref="D41:D42"/>
    <mergeCell ref="E41:E42"/>
    <mergeCell ref="F41:F42"/>
    <mergeCell ref="B43:B44"/>
    <mergeCell ref="C43:C44"/>
    <mergeCell ref="D43:D44"/>
    <mergeCell ref="E43:E44"/>
    <mergeCell ref="F43:F44"/>
    <mergeCell ref="B35:B36"/>
    <mergeCell ref="C35:C36"/>
    <mergeCell ref="D35:D36"/>
    <mergeCell ref="E35:E36"/>
    <mergeCell ref="F35:F36"/>
    <mergeCell ref="B37:B38"/>
    <mergeCell ref="C37:C38"/>
    <mergeCell ref="D37:D38"/>
    <mergeCell ref="E37:E38"/>
    <mergeCell ref="F37:F38"/>
    <mergeCell ref="B29:B30"/>
    <mergeCell ref="C29:C30"/>
    <mergeCell ref="D29:D30"/>
    <mergeCell ref="E29:E30"/>
    <mergeCell ref="F29:F30"/>
    <mergeCell ref="B31:B32"/>
    <mergeCell ref="C31:C32"/>
    <mergeCell ref="D31:D32"/>
    <mergeCell ref="E31:E32"/>
    <mergeCell ref="F31:F32"/>
    <mergeCell ref="B23:B24"/>
    <mergeCell ref="C23:C24"/>
    <mergeCell ref="D23:D24"/>
    <mergeCell ref="E23:E24"/>
    <mergeCell ref="F23:F24"/>
    <mergeCell ref="B25:B26"/>
    <mergeCell ref="C25:C26"/>
    <mergeCell ref="D25:D26"/>
    <mergeCell ref="E25:E26"/>
    <mergeCell ref="F25:F26"/>
    <mergeCell ref="B17:B18"/>
    <mergeCell ref="C17:C18"/>
    <mergeCell ref="D17:D18"/>
    <mergeCell ref="E17:E18"/>
    <mergeCell ref="F17:F18"/>
    <mergeCell ref="B19:B20"/>
    <mergeCell ref="C19:C20"/>
    <mergeCell ref="D19:D20"/>
    <mergeCell ref="E19:E20"/>
    <mergeCell ref="F19:F20"/>
    <mergeCell ref="B9:B10"/>
    <mergeCell ref="C9:C10"/>
    <mergeCell ref="D9:D10"/>
    <mergeCell ref="E9:E10"/>
    <mergeCell ref="F9:F10"/>
    <mergeCell ref="B11:B12"/>
    <mergeCell ref="C11:C12"/>
    <mergeCell ref="D11:D12"/>
    <mergeCell ref="E11:E12"/>
    <mergeCell ref="F11:F12"/>
  </mergeCells>
  <hyperlinks>
    <hyperlink ref="A2" r:id="rId1" display="https://www.scoresandodds.com/nfl/odds" xr:uid="{29CD92E7-E0C9-4D53-959A-A041EB936FB2}"/>
    <hyperlink ref="A3" r:id="rId2" display="https://www.scoresandodds.com/nfl/consensus-picks" xr:uid="{D7B9F713-1D51-44EB-AC59-167D7A88C58B}"/>
    <hyperlink ref="A4" r:id="rId3" display="https://www.scoresandodds.com/nfl/more-lines" xr:uid="{6594C94B-F701-41B2-9F56-59953E851365}"/>
    <hyperlink ref="A5" r:id="rId4" display="https://www.scoresandodds.com/nfl/props" xr:uid="{93B32BBA-3592-4C5C-8CC4-763F7AE82657}"/>
    <hyperlink ref="A6" r:id="rId5" display="https://www.scoresandodds.com/nfl/parlays" xr:uid="{8CE34996-E7BD-43D2-B4FC-123DC16F63F0}"/>
    <hyperlink ref="A7" r:id="rId6" display="https://www.scoresandodds.com/nfl/picks" xr:uid="{D796D954-F1C6-4A8D-858A-5791A879BAC4}"/>
    <hyperlink ref="A10" r:id="rId7" display="https://www.scoresandodds.com/nfl/teams/seahawks" xr:uid="{608215F5-8A9C-4FA5-B2A6-E4B565FFCA05}"/>
    <hyperlink ref="A12" r:id="rId8" display="https://www.scoresandodds.com/nfl/teams/cardinals" xr:uid="{3154201F-8BDC-4187-B7B5-E82081BB3BF6}"/>
    <hyperlink ref="A18" r:id="rId9" display="https://www.scoresandodds.com/nfl/teams/vikings" xr:uid="{4D1CA43F-1127-4998-9CF8-ACE0064C6110}"/>
    <hyperlink ref="A20" r:id="rId10" display="https://www.scoresandodds.com/nfl/teams/steelers" xr:uid="{881C797D-2EB7-4321-B5AA-0A4154999FF6}"/>
    <hyperlink ref="A24" r:id="rId11" display="https://www.scoresandodds.com/nfl/teams/commanders" xr:uid="{4FA1C335-57D4-47B7-AE04-3E13BA07040B}"/>
    <hyperlink ref="A26" r:id="rId12" display="https://www.scoresandodds.com/nfl/teams/falcons" xr:uid="{6D6B3A44-DBCB-431B-8F48-4E10F19A9D9E}"/>
    <hyperlink ref="A30" r:id="rId13" display="https://www.scoresandodds.com/nfl/teams/eagles" xr:uid="{810A4CF2-9FBE-4B69-8AEE-CAB78388F26E}"/>
    <hyperlink ref="A32" r:id="rId14" display="https://www.scoresandodds.com/nfl/teams/buccaneers" xr:uid="{7E3C8CC2-EB88-4672-A318-710B96708C5E}"/>
    <hyperlink ref="A36" r:id="rId15" display="https://www.scoresandodds.com/nfl/teams/saints" xr:uid="{D9B1CE5C-06CF-49EF-B92E-41EDABEEA5FC}"/>
    <hyperlink ref="A38" r:id="rId16" display="https://www.scoresandodds.com/nfl/teams/bills" xr:uid="{345631D4-8078-4DF5-AB4B-D4A77073011C}"/>
    <hyperlink ref="A42" r:id="rId17" display="https://www.scoresandodds.com/nfl/teams/titans" xr:uid="{3DBB904E-B8DD-40EC-908D-BF8E57E0BE62}"/>
    <hyperlink ref="A44" r:id="rId18" display="https://www.scoresandodds.com/nfl/teams/texans" xr:uid="{00881E0E-76E8-4B1F-85ED-3BBCF00D562F}"/>
    <hyperlink ref="A48" r:id="rId19" display="https://www.scoresandodds.com/nfl/teams/panthers" xr:uid="{FF0E003E-809E-424F-A512-37961C8D861C}"/>
    <hyperlink ref="A50" r:id="rId20" display="https://www.scoresandodds.com/nfl/teams/patriots" xr:uid="{06760D27-4313-4703-A02B-80A75D5D32A9}"/>
    <hyperlink ref="A54" r:id="rId21" display="https://www.scoresandodds.com/nfl/teams/chargers" xr:uid="{1BA6B8EF-11D4-455E-96B9-BCED40BEB5A7}"/>
    <hyperlink ref="A56" r:id="rId22" display="https://www.scoresandodds.com/nfl/teams/giants" xr:uid="{12B84CF4-E36E-4F64-B74F-1780043823C4}"/>
    <hyperlink ref="A60" r:id="rId23" display="https://www.scoresandodds.com/nfl/teams/browns" xr:uid="{9DA4E073-47A2-4F41-BF73-5019F5C01EF4}"/>
    <hyperlink ref="A62" r:id="rId24" display="https://www.scoresandodds.com/nfl/teams/lions" xr:uid="{C3239053-1B69-49DB-8817-228F27391D18}"/>
    <hyperlink ref="A66" r:id="rId25" display="https://www.scoresandodds.com/nfl/teams/jaguars" xr:uid="{46E2440E-C8B7-43B2-B45F-71D732BC5664}"/>
    <hyperlink ref="A68" r:id="rId26" display="https://www.scoresandodds.com/nfl/teams/49ers" xr:uid="{1D01FB71-8C48-49BA-B738-497ABF083AA9}"/>
    <hyperlink ref="A72" r:id="rId27" display="https://www.scoresandodds.com/nfl/teams/colts" xr:uid="{73D43A89-61E6-4824-908E-6427CB304558}"/>
    <hyperlink ref="A74" r:id="rId28" display="https://www.scoresandodds.com/nfl/teams/rams" xr:uid="{45A5CCFF-F3B1-4CDE-A5C6-C6FC1058A411}"/>
    <hyperlink ref="A78" r:id="rId29" display="https://www.scoresandodds.com/nfl/teams/bears" xr:uid="{6783F4A7-0C70-4940-BC58-1AD35B5BAD77}"/>
    <hyperlink ref="A80" r:id="rId30" display="https://www.scoresandodds.com/nfl/teams/raiders" xr:uid="{8718E04D-CDCE-4B40-90A0-60B7036CB572}"/>
    <hyperlink ref="A84" r:id="rId31" display="https://www.scoresandodds.com/nfl/teams/ravens" xr:uid="{35A258BD-2808-484B-B3FC-4C237B24556F}"/>
    <hyperlink ref="A86" r:id="rId32" display="https://www.scoresandodds.com/nfl/teams/chiefs" xr:uid="{B6D72819-3014-44E6-8138-81A9B05B98E0}"/>
    <hyperlink ref="A90" r:id="rId33" display="https://www.scoresandodds.com/nfl/teams/packers" xr:uid="{408D7F49-15F9-4F71-9A60-A013B6F07D08}"/>
    <hyperlink ref="A92" r:id="rId34" display="https://www.scoresandodds.com/nfl/teams/cowboys" xr:uid="{2835B64A-74EE-482B-A44C-907450567491}"/>
    <hyperlink ref="A97" r:id="rId35" display="https://www.scoresandodds.com/nfl/teams/jets" xr:uid="{B7202032-5A8A-4520-A5D1-AB16C925655E}"/>
    <hyperlink ref="A99" r:id="rId36" display="https://www.scoresandodds.com/nfl/teams/dolphins" xr:uid="{ACA3FC8C-6E30-48F7-884D-C80C3E98F6D7}"/>
    <hyperlink ref="A104" r:id="rId37" display="https://www.scoresandodds.com/nfl/teams/bengals" xr:uid="{09488A09-3CF8-4C15-9090-BB87E1AC0A99}"/>
    <hyperlink ref="A106" r:id="rId38" display="https://www.scoresandodds.com/nfl/teams/broncos" xr:uid="{97BB2D39-6DC7-4CA5-BEB9-B6FADF969965}"/>
  </hyperlinks>
  <pageMargins left="0.7" right="0.7" top="0.75" bottom="0.75" header="0.3" footer="0.3"/>
  <drawing r:id="rId39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0CD1C-D694-4029-AACA-B7CCB885B84C}">
  <dimension ref="A1:F93"/>
  <sheetViews>
    <sheetView workbookViewId="0">
      <selection activeCell="J13" sqref="J13"/>
    </sheetView>
  </sheetViews>
  <sheetFormatPr baseColWidth="10" defaultRowHeight="15" x14ac:dyDescent="0.25"/>
  <cols>
    <col min="1" max="1" width="70.5703125" bestFit="1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3" spans="1:6" x14ac:dyDescent="0.25">
      <c r="A3" s="2" t="s">
        <v>2</v>
      </c>
    </row>
    <row r="4" spans="1:6" x14ac:dyDescent="0.25">
      <c r="A4" s="2" t="s">
        <v>3</v>
      </c>
    </row>
    <row r="5" spans="1:6" x14ac:dyDescent="0.25">
      <c r="A5" s="2" t="s">
        <v>4</v>
      </c>
    </row>
    <row r="6" spans="1:6" x14ac:dyDescent="0.25">
      <c r="A6" s="2" t="s">
        <v>5</v>
      </c>
    </row>
    <row r="7" spans="1:6" x14ac:dyDescent="0.25">
      <c r="A7" s="2" t="s">
        <v>6</v>
      </c>
    </row>
    <row r="8" spans="1:6" ht="15.75" thickBot="1" x14ac:dyDescent="0.3">
      <c r="A8" s="3" t="s">
        <v>718</v>
      </c>
      <c r="B8" s="4"/>
      <c r="C8" s="4" t="s">
        <v>8</v>
      </c>
      <c r="D8" s="4" t="s">
        <v>9</v>
      </c>
      <c r="E8" s="4" t="s">
        <v>10</v>
      </c>
      <c r="F8" s="4" t="s">
        <v>11</v>
      </c>
    </row>
    <row r="9" spans="1:6" x14ac:dyDescent="0.25">
      <c r="A9" s="5">
        <v>301</v>
      </c>
      <c r="B9" s="25">
        <v>26</v>
      </c>
      <c r="C9" s="32"/>
      <c r="D9" s="16">
        <f>7.5-102</f>
        <v>-94.5</v>
      </c>
      <c r="E9" s="16" t="s">
        <v>40</v>
      </c>
      <c r="F9" s="16">
        <v>340</v>
      </c>
    </row>
    <row r="10" spans="1:6" x14ac:dyDescent="0.25">
      <c r="A10" s="6" t="s">
        <v>661</v>
      </c>
      <c r="B10" s="24"/>
      <c r="C10" s="31"/>
      <c r="D10" s="15"/>
      <c r="E10" s="15"/>
      <c r="F10" s="15"/>
    </row>
    <row r="11" spans="1:6" x14ac:dyDescent="0.25">
      <c r="A11" s="9">
        <v>302</v>
      </c>
      <c r="B11" s="26">
        <v>23</v>
      </c>
      <c r="C11" s="33"/>
      <c r="D11" s="20">
        <f>-7.5-118</f>
        <v>-125.5</v>
      </c>
      <c r="E11" s="20" t="s">
        <v>566</v>
      </c>
      <c r="F11" s="20">
        <v>-440</v>
      </c>
    </row>
    <row r="12" spans="1:6" x14ac:dyDescent="0.25">
      <c r="A12" s="10" t="s">
        <v>627</v>
      </c>
      <c r="B12" s="26"/>
      <c r="C12" s="33"/>
      <c r="D12" s="20"/>
      <c r="E12" s="20"/>
      <c r="F12" s="20"/>
    </row>
    <row r="13" spans="1:6" ht="38.25" thickBot="1" x14ac:dyDescent="0.3">
      <c r="A13" s="22" t="s">
        <v>17</v>
      </c>
    </row>
    <row r="14" spans="1:6" ht="67.5" x14ac:dyDescent="0.25">
      <c r="A14" s="27" t="s">
        <v>116</v>
      </c>
    </row>
    <row r="15" spans="1:6" x14ac:dyDescent="0.25">
      <c r="A15" s="23" t="s">
        <v>102</v>
      </c>
    </row>
    <row r="16" spans="1:6" ht="15.75" thickBot="1" x14ac:dyDescent="0.3">
      <c r="A16" s="3" t="s">
        <v>719</v>
      </c>
      <c r="B16" s="4"/>
      <c r="C16" s="4" t="s">
        <v>8</v>
      </c>
      <c r="D16" s="4" t="s">
        <v>9</v>
      </c>
      <c r="E16" s="4" t="s">
        <v>10</v>
      </c>
      <c r="F16" s="4" t="s">
        <v>11</v>
      </c>
    </row>
    <row r="17" spans="1:6" x14ac:dyDescent="0.25">
      <c r="A17" s="5">
        <v>461</v>
      </c>
      <c r="B17" s="25">
        <v>21</v>
      </c>
      <c r="C17" s="32"/>
      <c r="D17" s="16">
        <f>-3.5-110</f>
        <v>-113.5</v>
      </c>
      <c r="E17" s="16" t="s">
        <v>397</v>
      </c>
      <c r="F17" s="16">
        <v>-192</v>
      </c>
    </row>
    <row r="18" spans="1:6" x14ac:dyDescent="0.25">
      <c r="A18" s="6" t="s">
        <v>584</v>
      </c>
      <c r="B18" s="24"/>
      <c r="C18" s="31"/>
      <c r="D18" s="15"/>
      <c r="E18" s="15"/>
      <c r="F18" s="15"/>
    </row>
    <row r="19" spans="1:6" x14ac:dyDescent="0.25">
      <c r="A19" s="9">
        <v>462</v>
      </c>
      <c r="B19" s="26">
        <v>17</v>
      </c>
      <c r="C19" s="33"/>
      <c r="D19" s="20">
        <f>3.5-110</f>
        <v>-106.5</v>
      </c>
      <c r="E19" s="20" t="s">
        <v>399</v>
      </c>
      <c r="F19" s="20">
        <v>160</v>
      </c>
    </row>
    <row r="20" spans="1:6" x14ac:dyDescent="0.25">
      <c r="A20" s="10" t="s">
        <v>640</v>
      </c>
      <c r="B20" s="26"/>
      <c r="C20" s="33"/>
      <c r="D20" s="20"/>
      <c r="E20" s="20"/>
      <c r="F20" s="20"/>
    </row>
    <row r="21" spans="1:6" ht="37.5" x14ac:dyDescent="0.25">
      <c r="A21" s="22" t="s">
        <v>17</v>
      </c>
    </row>
    <row r="22" spans="1:6" ht="15.75" thickBot="1" x14ac:dyDescent="0.3">
      <c r="A22" s="3" t="s">
        <v>720</v>
      </c>
      <c r="B22" s="4"/>
      <c r="C22" s="4" t="s">
        <v>8</v>
      </c>
      <c r="D22" s="4" t="s">
        <v>9</v>
      </c>
      <c r="E22" s="4" t="s">
        <v>10</v>
      </c>
      <c r="F22" s="4" t="s">
        <v>11</v>
      </c>
    </row>
    <row r="23" spans="1:6" x14ac:dyDescent="0.25">
      <c r="A23" s="5">
        <v>471</v>
      </c>
      <c r="B23" s="14">
        <v>14</v>
      </c>
      <c r="C23" s="32"/>
      <c r="D23" s="18">
        <f>2.5-118</f>
        <v>-115.5</v>
      </c>
      <c r="E23" s="18" t="s">
        <v>293</v>
      </c>
      <c r="F23" s="18">
        <v>110</v>
      </c>
    </row>
    <row r="24" spans="1:6" x14ac:dyDescent="0.25">
      <c r="A24" s="6" t="s">
        <v>648</v>
      </c>
      <c r="B24" s="13"/>
      <c r="C24" s="31"/>
      <c r="D24" s="17"/>
      <c r="E24" s="17"/>
      <c r="F24" s="17"/>
    </row>
    <row r="25" spans="1:6" x14ac:dyDescent="0.25">
      <c r="A25" s="9">
        <v>472</v>
      </c>
      <c r="B25" s="19">
        <v>26</v>
      </c>
      <c r="C25" s="33"/>
      <c r="D25" s="21">
        <f>-2.5-102</f>
        <v>-104.5</v>
      </c>
      <c r="E25" s="21" t="s">
        <v>218</v>
      </c>
      <c r="F25" s="21">
        <v>-130</v>
      </c>
    </row>
    <row r="26" spans="1:6" x14ac:dyDescent="0.25">
      <c r="A26" s="10" t="s">
        <v>630</v>
      </c>
      <c r="B26" s="19"/>
      <c r="C26" s="33"/>
      <c r="D26" s="21"/>
      <c r="E26" s="21"/>
      <c r="F26" s="21"/>
    </row>
    <row r="27" spans="1:6" ht="37.5" x14ac:dyDescent="0.25">
      <c r="A27" s="22" t="s">
        <v>17</v>
      </c>
    </row>
    <row r="28" spans="1:6" ht="15.75" thickBot="1" x14ac:dyDescent="0.3">
      <c r="A28" s="3" t="s">
        <v>720</v>
      </c>
      <c r="B28" s="4"/>
      <c r="C28" s="4" t="s">
        <v>8</v>
      </c>
      <c r="D28" s="4" t="s">
        <v>9</v>
      </c>
      <c r="E28" s="4" t="s">
        <v>10</v>
      </c>
      <c r="F28" s="4" t="s">
        <v>11</v>
      </c>
    </row>
    <row r="29" spans="1:6" x14ac:dyDescent="0.25">
      <c r="A29" s="5">
        <v>473</v>
      </c>
      <c r="B29" s="25">
        <v>44</v>
      </c>
      <c r="C29" s="32"/>
      <c r="D29" s="16">
        <f>-2.5-112</f>
        <v>-114.5</v>
      </c>
      <c r="E29" s="16" t="s">
        <v>289</v>
      </c>
      <c r="F29" s="16">
        <v>-142</v>
      </c>
    </row>
    <row r="30" spans="1:6" x14ac:dyDescent="0.25">
      <c r="A30" s="6" t="s">
        <v>669</v>
      </c>
      <c r="B30" s="24"/>
      <c r="C30" s="31"/>
      <c r="D30" s="15"/>
      <c r="E30" s="15"/>
      <c r="F30" s="15"/>
    </row>
    <row r="31" spans="1:6" x14ac:dyDescent="0.25">
      <c r="A31" s="9">
        <v>474</v>
      </c>
      <c r="B31" s="26">
        <v>10</v>
      </c>
      <c r="C31" s="33"/>
      <c r="D31" s="20">
        <f>2.5-108</f>
        <v>-105.5</v>
      </c>
      <c r="E31" s="20" t="s">
        <v>291</v>
      </c>
      <c r="F31" s="20">
        <v>120</v>
      </c>
    </row>
    <row r="32" spans="1:6" x14ac:dyDescent="0.25">
      <c r="A32" s="10" t="s">
        <v>687</v>
      </c>
      <c r="B32" s="26"/>
      <c r="C32" s="33"/>
      <c r="D32" s="20"/>
      <c r="E32" s="20"/>
      <c r="F32" s="20"/>
    </row>
    <row r="33" spans="1:6" ht="37.5" x14ac:dyDescent="0.25">
      <c r="A33" s="22" t="s">
        <v>17</v>
      </c>
    </row>
    <row r="34" spans="1:6" ht="15.75" thickBot="1" x14ac:dyDescent="0.3">
      <c r="A34" s="3" t="s">
        <v>720</v>
      </c>
      <c r="B34" s="4"/>
      <c r="C34" s="4" t="s">
        <v>8</v>
      </c>
      <c r="D34" s="4" t="s">
        <v>9</v>
      </c>
      <c r="E34" s="4" t="s">
        <v>10</v>
      </c>
      <c r="F34" s="4" t="s">
        <v>11</v>
      </c>
    </row>
    <row r="35" spans="1:6" x14ac:dyDescent="0.25">
      <c r="A35" s="5">
        <v>465</v>
      </c>
      <c r="B35" s="25">
        <v>37</v>
      </c>
      <c r="C35" s="32"/>
      <c r="D35" s="16">
        <f>1.5-115</f>
        <v>-113.5</v>
      </c>
      <c r="E35" s="16" t="s">
        <v>244</v>
      </c>
      <c r="F35" s="16">
        <v>102</v>
      </c>
    </row>
    <row r="36" spans="1:6" x14ac:dyDescent="0.25">
      <c r="A36" s="6" t="s">
        <v>655</v>
      </c>
      <c r="B36" s="24"/>
      <c r="C36" s="31"/>
      <c r="D36" s="15"/>
      <c r="E36" s="15"/>
      <c r="F36" s="15"/>
    </row>
    <row r="37" spans="1:6" x14ac:dyDescent="0.25">
      <c r="A37" s="9">
        <v>466</v>
      </c>
      <c r="B37" s="26">
        <v>22</v>
      </c>
      <c r="C37" s="33"/>
      <c r="D37" s="20">
        <f>-1.5-105</f>
        <v>-106.5</v>
      </c>
      <c r="E37" s="20" t="s">
        <v>25</v>
      </c>
      <c r="F37" s="20">
        <v>-120</v>
      </c>
    </row>
    <row r="38" spans="1:6" x14ac:dyDescent="0.25">
      <c r="A38" s="10" t="s">
        <v>634</v>
      </c>
      <c r="B38" s="26"/>
      <c r="C38" s="33"/>
      <c r="D38" s="20"/>
      <c r="E38" s="20"/>
      <c r="F38" s="20"/>
    </row>
    <row r="39" spans="1:6" ht="37.5" x14ac:dyDescent="0.25">
      <c r="A39" s="22" t="s">
        <v>17</v>
      </c>
    </row>
    <row r="40" spans="1:6" ht="15.75" thickBot="1" x14ac:dyDescent="0.3">
      <c r="A40" s="3" t="s">
        <v>720</v>
      </c>
      <c r="B40" s="4"/>
      <c r="C40" s="4" t="s">
        <v>8</v>
      </c>
      <c r="D40" s="4" t="s">
        <v>9</v>
      </c>
      <c r="E40" s="4" t="s">
        <v>10</v>
      </c>
      <c r="F40" s="4" t="s">
        <v>11</v>
      </c>
    </row>
    <row r="41" spans="1:6" x14ac:dyDescent="0.25">
      <c r="A41" s="5">
        <v>467</v>
      </c>
      <c r="B41" s="14">
        <v>6</v>
      </c>
      <c r="C41" s="32"/>
      <c r="D41" s="18">
        <f>7.5-115</f>
        <v>-107.5</v>
      </c>
      <c r="E41" s="18" t="s">
        <v>51</v>
      </c>
      <c r="F41" s="18">
        <v>295</v>
      </c>
    </row>
    <row r="42" spans="1:6" x14ac:dyDescent="0.25">
      <c r="A42" s="6" t="s">
        <v>643</v>
      </c>
      <c r="B42" s="13"/>
      <c r="C42" s="31"/>
      <c r="D42" s="17"/>
      <c r="E42" s="17"/>
      <c r="F42" s="17"/>
    </row>
    <row r="43" spans="1:6" x14ac:dyDescent="0.25">
      <c r="A43" s="9">
        <v>468</v>
      </c>
      <c r="B43" s="19">
        <v>40</v>
      </c>
      <c r="C43" s="33"/>
      <c r="D43" s="21">
        <f>-7.5-105</f>
        <v>-112.5</v>
      </c>
      <c r="E43" s="21" t="s">
        <v>53</v>
      </c>
      <c r="F43" s="21">
        <v>-375</v>
      </c>
    </row>
    <row r="44" spans="1:6" x14ac:dyDescent="0.25">
      <c r="A44" s="10" t="s">
        <v>650</v>
      </c>
      <c r="B44" s="19"/>
      <c r="C44" s="33"/>
      <c r="D44" s="21"/>
      <c r="E44" s="21"/>
      <c r="F44" s="21"/>
    </row>
    <row r="45" spans="1:6" ht="37.5" x14ac:dyDescent="0.25">
      <c r="A45" s="22" t="s">
        <v>17</v>
      </c>
    </row>
    <row r="46" spans="1:6" ht="15.75" thickBot="1" x14ac:dyDescent="0.3">
      <c r="A46" s="3" t="s">
        <v>720</v>
      </c>
      <c r="B46" s="4"/>
      <c r="C46" s="4" t="s">
        <v>8</v>
      </c>
      <c r="D46" s="4" t="s">
        <v>9</v>
      </c>
      <c r="E46" s="4" t="s">
        <v>10</v>
      </c>
      <c r="F46" s="4" t="s">
        <v>11</v>
      </c>
    </row>
    <row r="47" spans="1:6" x14ac:dyDescent="0.25">
      <c r="A47" s="5">
        <v>469</v>
      </c>
      <c r="B47" s="25">
        <v>21</v>
      </c>
      <c r="C47" s="32"/>
      <c r="D47" s="16">
        <f>3.5-102</f>
        <v>-98.5</v>
      </c>
      <c r="E47" s="18" t="s">
        <v>188</v>
      </c>
      <c r="F47" s="16">
        <v>180</v>
      </c>
    </row>
    <row r="48" spans="1:6" x14ac:dyDescent="0.25">
      <c r="A48" s="6" t="s">
        <v>649</v>
      </c>
      <c r="B48" s="24"/>
      <c r="C48" s="31"/>
      <c r="D48" s="15"/>
      <c r="E48" s="17"/>
      <c r="F48" s="15"/>
    </row>
    <row r="49" spans="1:6" x14ac:dyDescent="0.25">
      <c r="A49" s="9">
        <v>470</v>
      </c>
      <c r="B49" s="26">
        <v>17</v>
      </c>
      <c r="C49" s="33"/>
      <c r="D49" s="20">
        <f>-3.5-118</f>
        <v>-121.5</v>
      </c>
      <c r="E49" s="21" t="s">
        <v>195</v>
      </c>
      <c r="F49" s="20">
        <v>-225</v>
      </c>
    </row>
    <row r="50" spans="1:6" x14ac:dyDescent="0.25">
      <c r="A50" s="10" t="s">
        <v>636</v>
      </c>
      <c r="B50" s="26"/>
      <c r="C50" s="33"/>
      <c r="D50" s="20"/>
      <c r="E50" s="21"/>
      <c r="F50" s="20"/>
    </row>
    <row r="51" spans="1:6" ht="37.5" x14ac:dyDescent="0.25">
      <c r="A51" s="22" t="s">
        <v>17</v>
      </c>
    </row>
    <row r="52" spans="1:6" ht="15.75" thickBot="1" x14ac:dyDescent="0.3">
      <c r="A52" s="3" t="s">
        <v>720</v>
      </c>
      <c r="B52" s="4"/>
      <c r="C52" s="4" t="s">
        <v>8</v>
      </c>
      <c r="D52" s="4" t="s">
        <v>9</v>
      </c>
      <c r="E52" s="4" t="s">
        <v>10</v>
      </c>
      <c r="F52" s="4" t="s">
        <v>11</v>
      </c>
    </row>
    <row r="53" spans="1:6" x14ac:dyDescent="0.25">
      <c r="A53" s="5">
        <v>463</v>
      </c>
      <c r="B53" s="14">
        <v>24</v>
      </c>
      <c r="C53" s="32"/>
      <c r="D53" s="18">
        <f>-1.5-105</f>
        <v>-106.5</v>
      </c>
      <c r="E53" s="16" t="s">
        <v>167</v>
      </c>
      <c r="F53" s="18">
        <v>-118</v>
      </c>
    </row>
    <row r="54" spans="1:6" x14ac:dyDescent="0.25">
      <c r="A54" s="6" t="s">
        <v>639</v>
      </c>
      <c r="B54" s="13"/>
      <c r="C54" s="31"/>
      <c r="D54" s="17"/>
      <c r="E54" s="15"/>
      <c r="F54" s="17"/>
    </row>
    <row r="55" spans="1:6" x14ac:dyDescent="0.25">
      <c r="A55" s="9">
        <v>464</v>
      </c>
      <c r="B55" s="19">
        <v>27</v>
      </c>
      <c r="C55" s="33"/>
      <c r="D55" s="21">
        <f>1.5-115</f>
        <v>-113.5</v>
      </c>
      <c r="E55" s="20" t="s">
        <v>328</v>
      </c>
      <c r="F55" s="21">
        <v>-102</v>
      </c>
    </row>
    <row r="56" spans="1:6" x14ac:dyDescent="0.25">
      <c r="A56" s="10" t="s">
        <v>632</v>
      </c>
      <c r="B56" s="19"/>
      <c r="C56" s="33"/>
      <c r="D56" s="21"/>
      <c r="E56" s="20"/>
      <c r="F56" s="21"/>
    </row>
    <row r="57" spans="1:6" ht="37.5" x14ac:dyDescent="0.25">
      <c r="A57" s="22" t="s">
        <v>17</v>
      </c>
    </row>
    <row r="58" spans="1:6" ht="15.75" thickBot="1" x14ac:dyDescent="0.3">
      <c r="A58" s="3" t="s">
        <v>721</v>
      </c>
      <c r="B58" s="4"/>
      <c r="C58" s="4" t="s">
        <v>8</v>
      </c>
      <c r="D58" s="4" t="s">
        <v>9</v>
      </c>
      <c r="E58" s="4" t="s">
        <v>10</v>
      </c>
      <c r="F58" s="4" t="s">
        <v>11</v>
      </c>
    </row>
    <row r="59" spans="1:6" x14ac:dyDescent="0.25">
      <c r="A59" s="5">
        <v>477</v>
      </c>
      <c r="B59" s="25">
        <v>38</v>
      </c>
      <c r="C59" s="32"/>
      <c r="D59" s="16">
        <f>3.5-115</f>
        <v>-111.5</v>
      </c>
      <c r="E59" s="16" t="s">
        <v>167</v>
      </c>
      <c r="F59" s="16">
        <v>150</v>
      </c>
    </row>
    <row r="60" spans="1:6" x14ac:dyDescent="0.25">
      <c r="A60" s="6" t="s">
        <v>663</v>
      </c>
      <c r="B60" s="24"/>
      <c r="C60" s="31"/>
      <c r="D60" s="15"/>
      <c r="E60" s="15"/>
      <c r="F60" s="15"/>
    </row>
    <row r="61" spans="1:6" x14ac:dyDescent="0.25">
      <c r="A61" s="9">
        <v>478</v>
      </c>
      <c r="B61" s="26">
        <v>35</v>
      </c>
      <c r="C61" s="33"/>
      <c r="D61" s="20">
        <f>-3.5-105</f>
        <v>-108.5</v>
      </c>
      <c r="E61" s="20" t="s">
        <v>328</v>
      </c>
      <c r="F61" s="20">
        <v>-180</v>
      </c>
    </row>
    <row r="62" spans="1:6" x14ac:dyDescent="0.25">
      <c r="A62" s="10" t="s">
        <v>670</v>
      </c>
      <c r="B62" s="26"/>
      <c r="C62" s="33"/>
      <c r="D62" s="20"/>
      <c r="E62" s="20"/>
      <c r="F62" s="20"/>
    </row>
    <row r="63" spans="1:6" ht="37.5" x14ac:dyDescent="0.25">
      <c r="A63" s="22" t="s">
        <v>17</v>
      </c>
    </row>
    <row r="64" spans="1:6" ht="15.75" thickBot="1" x14ac:dyDescent="0.3">
      <c r="A64" s="3" t="s">
        <v>721</v>
      </c>
      <c r="B64" s="4"/>
      <c r="C64" s="4" t="s">
        <v>8</v>
      </c>
      <c r="D64" s="4" t="s">
        <v>9</v>
      </c>
      <c r="E64" s="4" t="s">
        <v>10</v>
      </c>
      <c r="F64" s="4" t="s">
        <v>11</v>
      </c>
    </row>
    <row r="65" spans="1:6" x14ac:dyDescent="0.25">
      <c r="A65" s="5">
        <v>475</v>
      </c>
      <c r="B65" s="25">
        <v>22</v>
      </c>
      <c r="C65" s="32"/>
      <c r="D65" s="16">
        <f>7.5-110</f>
        <v>-102.5</v>
      </c>
      <c r="E65" s="16" t="s">
        <v>289</v>
      </c>
      <c r="F65" s="16">
        <v>340</v>
      </c>
    </row>
    <row r="66" spans="1:6" x14ac:dyDescent="0.25">
      <c r="A66" s="6" t="s">
        <v>642</v>
      </c>
      <c r="B66" s="24"/>
      <c r="C66" s="31"/>
      <c r="D66" s="15"/>
      <c r="E66" s="15"/>
      <c r="F66" s="15"/>
    </row>
    <row r="67" spans="1:6" x14ac:dyDescent="0.25">
      <c r="A67" s="9">
        <v>476</v>
      </c>
      <c r="B67" s="26">
        <v>21</v>
      </c>
      <c r="C67" s="33"/>
      <c r="D67" s="20">
        <f>-7.5-110</f>
        <v>-117.5</v>
      </c>
      <c r="E67" s="20" t="s">
        <v>291</v>
      </c>
      <c r="F67" s="20">
        <v>-425</v>
      </c>
    </row>
    <row r="68" spans="1:6" x14ac:dyDescent="0.25">
      <c r="A68" s="10" t="s">
        <v>658</v>
      </c>
      <c r="B68" s="26"/>
      <c r="C68" s="33"/>
      <c r="D68" s="20"/>
      <c r="E68" s="20"/>
      <c r="F68" s="20"/>
    </row>
    <row r="69" spans="1:6" ht="37.5" x14ac:dyDescent="0.25">
      <c r="A69" s="22" t="s">
        <v>17</v>
      </c>
    </row>
    <row r="70" spans="1:6" ht="15.75" thickBot="1" x14ac:dyDescent="0.3">
      <c r="A70" s="3" t="s">
        <v>722</v>
      </c>
      <c r="B70" s="4"/>
      <c r="C70" s="4" t="s">
        <v>8</v>
      </c>
      <c r="D70" s="4" t="s">
        <v>9</v>
      </c>
      <c r="E70" s="4" t="s">
        <v>10</v>
      </c>
      <c r="F70" s="4" t="s">
        <v>11</v>
      </c>
    </row>
    <row r="71" spans="1:6" x14ac:dyDescent="0.25">
      <c r="A71" s="5">
        <v>479</v>
      </c>
      <c r="B71" s="25">
        <v>37</v>
      </c>
      <c r="C71" s="32"/>
      <c r="D71" s="16">
        <f>-10.5-102</f>
        <v>-112.5</v>
      </c>
      <c r="E71" s="16" t="s">
        <v>281</v>
      </c>
      <c r="F71" s="16">
        <v>-600</v>
      </c>
    </row>
    <row r="72" spans="1:6" x14ac:dyDescent="0.25">
      <c r="A72" s="6" t="s">
        <v>665</v>
      </c>
      <c r="B72" s="24"/>
      <c r="C72" s="31"/>
      <c r="D72" s="15"/>
      <c r="E72" s="15"/>
      <c r="F72" s="15"/>
    </row>
    <row r="73" spans="1:6" x14ac:dyDescent="0.25">
      <c r="A73" s="9">
        <v>480</v>
      </c>
      <c r="B73" s="26">
        <v>24</v>
      </c>
      <c r="C73" s="33"/>
      <c r="D73" s="20">
        <f>10.5-118</f>
        <v>-107.5</v>
      </c>
      <c r="E73" s="20" t="s">
        <v>530</v>
      </c>
      <c r="F73" s="20">
        <v>425</v>
      </c>
    </row>
    <row r="74" spans="1:6" x14ac:dyDescent="0.25">
      <c r="A74" s="10" t="s">
        <v>624</v>
      </c>
      <c r="B74" s="26"/>
      <c r="C74" s="33"/>
      <c r="D74" s="20"/>
      <c r="E74" s="20"/>
      <c r="F74" s="20"/>
    </row>
    <row r="75" spans="1:6" ht="37.5" x14ac:dyDescent="0.25">
      <c r="A75" s="22" t="s">
        <v>17</v>
      </c>
    </row>
    <row r="76" spans="1:6" ht="15.75" thickBot="1" x14ac:dyDescent="0.3">
      <c r="A76" s="3" t="s">
        <v>722</v>
      </c>
      <c r="B76" s="4"/>
      <c r="C76" s="4" t="s">
        <v>8</v>
      </c>
      <c r="D76" s="4" t="s">
        <v>9</v>
      </c>
      <c r="E76" s="4" t="s">
        <v>10</v>
      </c>
      <c r="F76" s="4" t="s">
        <v>11</v>
      </c>
    </row>
    <row r="77" spans="1:6" x14ac:dyDescent="0.25">
      <c r="A77" s="5">
        <v>481</v>
      </c>
      <c r="B77" s="25">
        <v>27</v>
      </c>
      <c r="C77" s="32"/>
      <c r="D77" s="16">
        <f>3-108</f>
        <v>-105</v>
      </c>
      <c r="E77" s="18" t="s">
        <v>21</v>
      </c>
      <c r="F77" s="16">
        <v>142</v>
      </c>
    </row>
    <row r="78" spans="1:6" x14ac:dyDescent="0.25">
      <c r="A78" s="6" t="s">
        <v>653</v>
      </c>
      <c r="B78" s="24"/>
      <c r="C78" s="31"/>
      <c r="D78" s="15"/>
      <c r="E78" s="17"/>
      <c r="F78" s="15"/>
    </row>
    <row r="79" spans="1:6" x14ac:dyDescent="0.25">
      <c r="A79" s="9">
        <v>482</v>
      </c>
      <c r="B79" s="26">
        <v>10</v>
      </c>
      <c r="C79" s="33"/>
      <c r="D79" s="20">
        <f>-3-112</f>
        <v>-115</v>
      </c>
      <c r="E79" s="21" t="s">
        <v>23</v>
      </c>
      <c r="F79" s="20">
        <v>-170</v>
      </c>
    </row>
    <row r="80" spans="1:6" x14ac:dyDescent="0.25">
      <c r="A80" s="10" t="s">
        <v>585</v>
      </c>
      <c r="B80" s="26"/>
      <c r="C80" s="33"/>
      <c r="D80" s="20"/>
      <c r="E80" s="21"/>
      <c r="F80" s="20"/>
    </row>
    <row r="81" spans="1:6" ht="37.5" x14ac:dyDescent="0.25">
      <c r="A81" s="22" t="s">
        <v>17</v>
      </c>
    </row>
    <row r="82" spans="1:6" ht="15.75" thickBot="1" x14ac:dyDescent="0.3">
      <c r="A82" s="3" t="s">
        <v>723</v>
      </c>
      <c r="B82" s="4"/>
      <c r="C82" s="4" t="s">
        <v>8</v>
      </c>
      <c r="D82" s="4" t="s">
        <v>9</v>
      </c>
      <c r="E82" s="4" t="s">
        <v>10</v>
      </c>
      <c r="F82" s="4" t="s">
        <v>11</v>
      </c>
    </row>
    <row r="83" spans="1:6" x14ac:dyDescent="0.25">
      <c r="A83" s="5">
        <v>483</v>
      </c>
      <c r="B83" s="25">
        <v>23</v>
      </c>
      <c r="C83" s="32"/>
      <c r="D83" s="16">
        <f>7.5-105</f>
        <v>-97.5</v>
      </c>
      <c r="E83" s="18" t="s">
        <v>64</v>
      </c>
      <c r="F83" s="16">
        <v>310</v>
      </c>
    </row>
    <row r="84" spans="1:6" x14ac:dyDescent="0.25">
      <c r="A84" s="6" t="s">
        <v>641</v>
      </c>
      <c r="B84" s="24"/>
      <c r="C84" s="31"/>
      <c r="D84" s="15"/>
      <c r="E84" s="17"/>
      <c r="F84" s="15"/>
    </row>
    <row r="85" spans="1:6" x14ac:dyDescent="0.25">
      <c r="A85" s="9">
        <v>484</v>
      </c>
      <c r="B85" s="26">
        <v>20</v>
      </c>
      <c r="C85" s="33"/>
      <c r="D85" s="20">
        <f>-7.5-115</f>
        <v>-122.5</v>
      </c>
      <c r="E85" s="21" t="s">
        <v>67</v>
      </c>
      <c r="F85" s="20">
        <v>-380</v>
      </c>
    </row>
    <row r="86" spans="1:6" x14ac:dyDescent="0.25">
      <c r="A86" s="10" t="s">
        <v>711</v>
      </c>
      <c r="B86" s="26"/>
      <c r="C86" s="33"/>
      <c r="D86" s="20"/>
      <c r="E86" s="21"/>
      <c r="F86" s="20"/>
    </row>
    <row r="87" spans="1:6" ht="38.25" thickBot="1" x14ac:dyDescent="0.3">
      <c r="A87" s="22" t="s">
        <v>17</v>
      </c>
    </row>
    <row r="88" spans="1:6" ht="56.25" x14ac:dyDescent="0.25">
      <c r="A88" s="27" t="s">
        <v>174</v>
      </c>
    </row>
    <row r="89" spans="1:6" ht="15.75" thickBot="1" x14ac:dyDescent="0.3">
      <c r="A89" s="3" t="s">
        <v>724</v>
      </c>
      <c r="B89" s="4"/>
      <c r="C89" s="4" t="s">
        <v>8</v>
      </c>
      <c r="D89" s="4" t="s">
        <v>9</v>
      </c>
      <c r="E89" s="4" t="s">
        <v>10</v>
      </c>
      <c r="F89" s="4" t="s">
        <v>11</v>
      </c>
    </row>
    <row r="90" spans="1:6" x14ac:dyDescent="0.25">
      <c r="A90" s="5">
        <v>485</v>
      </c>
      <c r="B90" s="14">
        <v>28</v>
      </c>
      <c r="C90" s="32"/>
      <c r="D90" s="18">
        <f>-3.5-110</f>
        <v>-113.5</v>
      </c>
      <c r="E90" s="16" t="s">
        <v>258</v>
      </c>
      <c r="F90" s="18">
        <v>-205</v>
      </c>
    </row>
    <row r="91" spans="1:6" x14ac:dyDescent="0.25">
      <c r="A91" s="6" t="s">
        <v>645</v>
      </c>
      <c r="B91" s="13"/>
      <c r="C91" s="31"/>
      <c r="D91" s="17"/>
      <c r="E91" s="15"/>
      <c r="F91" s="17"/>
    </row>
    <row r="92" spans="1:6" x14ac:dyDescent="0.25">
      <c r="A92" s="9">
        <v>486</v>
      </c>
      <c r="B92" s="19">
        <v>31</v>
      </c>
      <c r="C92" s="33"/>
      <c r="D92" s="21">
        <f>3.5-110</f>
        <v>-106.5</v>
      </c>
      <c r="E92" s="20" t="s">
        <v>539</v>
      </c>
      <c r="F92" s="21">
        <v>170</v>
      </c>
    </row>
    <row r="93" spans="1:6" x14ac:dyDescent="0.25">
      <c r="A93" s="10" t="s">
        <v>628</v>
      </c>
      <c r="B93" s="19"/>
      <c r="C93" s="33"/>
      <c r="D93" s="21"/>
      <c r="E93" s="20"/>
      <c r="F93" s="21"/>
    </row>
  </sheetData>
  <mergeCells count="140">
    <mergeCell ref="B90:B91"/>
    <mergeCell ref="C90:C91"/>
    <mergeCell ref="D90:D91"/>
    <mergeCell ref="E90:E91"/>
    <mergeCell ref="F90:F91"/>
    <mergeCell ref="B92:B93"/>
    <mergeCell ref="C92:C93"/>
    <mergeCell ref="D92:D93"/>
    <mergeCell ref="E92:E93"/>
    <mergeCell ref="F92:F93"/>
    <mergeCell ref="B83:B84"/>
    <mergeCell ref="C83:C84"/>
    <mergeCell ref="D83:D84"/>
    <mergeCell ref="E83:E84"/>
    <mergeCell ref="F83:F84"/>
    <mergeCell ref="B85:B86"/>
    <mergeCell ref="C85:C86"/>
    <mergeCell ref="D85:D86"/>
    <mergeCell ref="E85:E86"/>
    <mergeCell ref="F85:F86"/>
    <mergeCell ref="B77:B78"/>
    <mergeCell ref="C77:C78"/>
    <mergeCell ref="D77:D78"/>
    <mergeCell ref="E77:E78"/>
    <mergeCell ref="F77:F78"/>
    <mergeCell ref="B79:B80"/>
    <mergeCell ref="C79:C80"/>
    <mergeCell ref="D79:D80"/>
    <mergeCell ref="E79:E80"/>
    <mergeCell ref="F79:F80"/>
    <mergeCell ref="B71:B72"/>
    <mergeCell ref="C71:C72"/>
    <mergeCell ref="D71:D72"/>
    <mergeCell ref="E71:E72"/>
    <mergeCell ref="F71:F72"/>
    <mergeCell ref="B73:B74"/>
    <mergeCell ref="C73:C74"/>
    <mergeCell ref="D73:D74"/>
    <mergeCell ref="E73:E74"/>
    <mergeCell ref="F73:F74"/>
    <mergeCell ref="B65:B66"/>
    <mergeCell ref="C65:C66"/>
    <mergeCell ref="D65:D66"/>
    <mergeCell ref="E65:E66"/>
    <mergeCell ref="F65:F66"/>
    <mergeCell ref="B67:B68"/>
    <mergeCell ref="C67:C68"/>
    <mergeCell ref="D67:D68"/>
    <mergeCell ref="E67:E68"/>
    <mergeCell ref="F67:F68"/>
    <mergeCell ref="B59:B60"/>
    <mergeCell ref="C59:C60"/>
    <mergeCell ref="D59:D60"/>
    <mergeCell ref="E59:E60"/>
    <mergeCell ref="F59:F60"/>
    <mergeCell ref="B61:B62"/>
    <mergeCell ref="C61:C62"/>
    <mergeCell ref="D61:D62"/>
    <mergeCell ref="E61:E62"/>
    <mergeCell ref="F61:F62"/>
    <mergeCell ref="B53:B54"/>
    <mergeCell ref="C53:C54"/>
    <mergeCell ref="D53:D54"/>
    <mergeCell ref="E53:E54"/>
    <mergeCell ref="F53:F54"/>
    <mergeCell ref="B55:B56"/>
    <mergeCell ref="C55:C56"/>
    <mergeCell ref="D55:D56"/>
    <mergeCell ref="E55:E56"/>
    <mergeCell ref="F55:F56"/>
    <mergeCell ref="B47:B48"/>
    <mergeCell ref="C47:C48"/>
    <mergeCell ref="D47:D48"/>
    <mergeCell ref="E47:E48"/>
    <mergeCell ref="F47:F48"/>
    <mergeCell ref="B49:B50"/>
    <mergeCell ref="C49:C50"/>
    <mergeCell ref="D49:D50"/>
    <mergeCell ref="E49:E50"/>
    <mergeCell ref="F49:F50"/>
    <mergeCell ref="B41:B42"/>
    <mergeCell ref="C41:C42"/>
    <mergeCell ref="D41:D42"/>
    <mergeCell ref="E41:E42"/>
    <mergeCell ref="F41:F42"/>
    <mergeCell ref="B43:B44"/>
    <mergeCell ref="C43:C44"/>
    <mergeCell ref="D43:D44"/>
    <mergeCell ref="E43:E44"/>
    <mergeCell ref="F43:F44"/>
    <mergeCell ref="B35:B36"/>
    <mergeCell ref="C35:C36"/>
    <mergeCell ref="D35:D36"/>
    <mergeCell ref="E35:E36"/>
    <mergeCell ref="F35:F36"/>
    <mergeCell ref="B37:B38"/>
    <mergeCell ref="C37:C38"/>
    <mergeCell ref="D37:D38"/>
    <mergeCell ref="E37:E38"/>
    <mergeCell ref="F37:F38"/>
    <mergeCell ref="B29:B30"/>
    <mergeCell ref="C29:C30"/>
    <mergeCell ref="D29:D30"/>
    <mergeCell ref="E29:E30"/>
    <mergeCell ref="F29:F30"/>
    <mergeCell ref="B31:B32"/>
    <mergeCell ref="C31:C32"/>
    <mergeCell ref="D31:D32"/>
    <mergeCell ref="E31:E32"/>
    <mergeCell ref="F31:F32"/>
    <mergeCell ref="B23:B24"/>
    <mergeCell ref="C23:C24"/>
    <mergeCell ref="D23:D24"/>
    <mergeCell ref="E23:E24"/>
    <mergeCell ref="F23:F24"/>
    <mergeCell ref="B25:B26"/>
    <mergeCell ref="C25:C26"/>
    <mergeCell ref="D25:D26"/>
    <mergeCell ref="E25:E26"/>
    <mergeCell ref="F25:F26"/>
    <mergeCell ref="B17:B18"/>
    <mergeCell ref="C17:C18"/>
    <mergeCell ref="D17:D18"/>
    <mergeCell ref="E17:E18"/>
    <mergeCell ref="F17:F18"/>
    <mergeCell ref="B19:B20"/>
    <mergeCell ref="C19:C20"/>
    <mergeCell ref="D19:D20"/>
    <mergeCell ref="E19:E20"/>
    <mergeCell ref="F19:F20"/>
    <mergeCell ref="B9:B10"/>
    <mergeCell ref="C9:C10"/>
    <mergeCell ref="D9:D10"/>
    <mergeCell ref="E9:E10"/>
    <mergeCell ref="F9:F10"/>
    <mergeCell ref="B11:B12"/>
    <mergeCell ref="C11:C12"/>
    <mergeCell ref="D11:D12"/>
    <mergeCell ref="E11:E12"/>
    <mergeCell ref="F11:F12"/>
  </mergeCells>
  <hyperlinks>
    <hyperlink ref="A2" r:id="rId1" display="https://www.scoresandodds.com/nfl/odds" xr:uid="{96D52C9D-EF58-4795-9BEC-A2332C03C027}"/>
    <hyperlink ref="A3" r:id="rId2" display="https://www.scoresandodds.com/nfl/consensus-picks" xr:uid="{E5051C10-4B70-4F8F-84AB-9D18C41F23EE}"/>
    <hyperlink ref="A4" r:id="rId3" display="https://www.scoresandodds.com/nfl/more-lines" xr:uid="{3214BCDC-5277-4F84-A1C9-3483A7AC79F6}"/>
    <hyperlink ref="A5" r:id="rId4" display="https://www.scoresandodds.com/nfl/props" xr:uid="{2CF5D99A-576F-4DD6-9635-27333C26F8BC}"/>
    <hyperlink ref="A6" r:id="rId5" display="https://www.scoresandodds.com/nfl/parlays" xr:uid="{220D4BCA-7AE6-4896-A856-41908DC231F7}"/>
    <hyperlink ref="A7" r:id="rId6" display="https://www.scoresandodds.com/nfl/picks" xr:uid="{9BEE7F0F-3A7B-404B-89F2-96BF927809AF}"/>
    <hyperlink ref="A10" r:id="rId7" display="https://www.scoresandodds.com/nfl/teams/49ers" xr:uid="{2667F6D4-F98D-4E00-BE77-9451530BEC54}"/>
    <hyperlink ref="A12" r:id="rId8" display="https://www.scoresandodds.com/nfl/teams/rams" xr:uid="{489C6760-433F-4FB7-9356-34B0BAB02515}"/>
    <hyperlink ref="A18" r:id="rId9" display="https://www.scoresandodds.com/nfl/teams/vikings" xr:uid="{65A44001-325F-40CB-8DC2-145AF50AD3CA}"/>
    <hyperlink ref="A20" r:id="rId10" display="https://www.scoresandodds.com/nfl/teams/browns" xr:uid="{93F198AD-99A2-495D-BF06-73B2F6BE8E5E}"/>
    <hyperlink ref="A24" r:id="rId11" display="https://www.scoresandodds.com/nfl/teams/giants" xr:uid="{C0A68D38-B7E4-40FF-A511-3DAC3A147B39}"/>
    <hyperlink ref="A26" r:id="rId12" display="https://www.scoresandodds.com/nfl/teams/saints" xr:uid="{D8E53019-0C0A-43E6-8289-FCE6F230878F}"/>
    <hyperlink ref="A30" r:id="rId13" display="https://www.scoresandodds.com/nfl/teams/texans" xr:uid="{CBB9DAEF-3C3C-4BBE-95CB-278DCE8CDB71}"/>
    <hyperlink ref="A32" r:id="rId14" display="https://www.scoresandodds.com/nfl/teams/ravens" xr:uid="{35BE9E1B-D2DF-4646-80AB-7173C1C6D519}"/>
    <hyperlink ref="A36" r:id="rId15" display="https://www.scoresandodds.com/nfl/teams/cowboys" xr:uid="{108AF0A8-88F0-4298-B7FC-0F4C4C8BEDD7}"/>
    <hyperlink ref="A38" r:id="rId16" display="https://www.scoresandodds.com/nfl/teams/jets" xr:uid="{9BC2B3C9-DB66-4A14-9C10-225CB51525AA}"/>
    <hyperlink ref="A42" r:id="rId17" display="https://www.scoresandodds.com/nfl/teams/raiders" xr:uid="{8C4F000A-38C9-4AEF-A4F0-09493F0C62FB}"/>
    <hyperlink ref="A44" r:id="rId18" display="https://www.scoresandodds.com/nfl/teams/colts" xr:uid="{FCC71777-C48F-471C-9A21-81C73C918D7A}"/>
    <hyperlink ref="A48" r:id="rId19" display="https://www.scoresandodds.com/nfl/teams/broncos" xr:uid="{96F01F16-B14E-44DD-B718-D46C971D0FA7}"/>
    <hyperlink ref="A50" r:id="rId20" display="https://www.scoresandodds.com/nfl/teams/eagles" xr:uid="{76627006-5042-430A-A75D-673F38F4080F}"/>
    <hyperlink ref="A54" r:id="rId21" display="https://www.scoresandodds.com/nfl/teams/dolphins" xr:uid="{D4FD38D4-51F3-4E1B-B574-FA96BA4E06B0}"/>
    <hyperlink ref="A56" r:id="rId22" display="https://www.scoresandodds.com/nfl/teams/panthers" xr:uid="{7040C362-4A95-48D4-BB74-E5318E8F732C}"/>
    <hyperlink ref="A60" r:id="rId23" display="https://www.scoresandodds.com/nfl/teams/buccaneers" xr:uid="{BCA1D7B6-96C6-4F5A-8DE0-93DFF7CA1527}"/>
    <hyperlink ref="A62" r:id="rId24" display="https://www.scoresandodds.com/nfl/teams/seahawks" xr:uid="{681C856C-279F-4977-B1F4-A4448B180D5F}"/>
    <hyperlink ref="A66" r:id="rId25" display="https://www.scoresandodds.com/nfl/teams/titans" xr:uid="{E08A5A9E-5011-41D0-8B65-39B6EA47E484}"/>
    <hyperlink ref="A68" r:id="rId26" display="https://www.scoresandodds.com/nfl/teams/cardinals" xr:uid="{1192E346-5538-4A83-88A9-476E3EFD24AE}"/>
    <hyperlink ref="A72" r:id="rId27" display="https://www.scoresandodds.com/nfl/teams/lions" xr:uid="{7A2CE32A-92FD-4F55-8EBC-16FF5FEB13B4}"/>
    <hyperlink ref="A74" r:id="rId28" display="https://www.scoresandodds.com/nfl/teams/bengals" xr:uid="{36542F56-9965-417E-AC38-4A3FAC1968C8}"/>
    <hyperlink ref="A78" r:id="rId29" display="https://www.scoresandodds.com/nfl/teams/commanders" xr:uid="{954D53B7-208A-46BF-BF28-90ECD7A8AF45}"/>
    <hyperlink ref="A80" r:id="rId30" display="https://www.scoresandodds.com/nfl/teams/chargers" xr:uid="{F12EE75E-42BF-48CC-ADBB-4D346EFB8316}"/>
    <hyperlink ref="A84" r:id="rId31" display="https://www.scoresandodds.com/nfl/teams/patriots" xr:uid="{A62BF8B8-ECAA-44D9-9B14-F0ED0E0FBB18}"/>
    <hyperlink ref="A86" r:id="rId32" display="https://www.scoresandodds.com/nfl/teams/bills" xr:uid="{898B27F6-ED3E-4320-9630-7A5791235B78}"/>
    <hyperlink ref="A91" r:id="rId33" display="https://www.scoresandodds.com/nfl/teams/chiefs" xr:uid="{54B62152-FD1A-41F2-8167-54B8720E6487}"/>
    <hyperlink ref="A93" r:id="rId34" display="https://www.scoresandodds.com/nfl/teams/jaguars" xr:uid="{ADE7680D-5970-4FC1-B54A-2C2A7F240EB9}"/>
  </hyperlinks>
  <pageMargins left="0.7" right="0.7" top="0.75" bottom="0.75" header="0.3" footer="0.3"/>
  <drawing r:id="rId3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ADB9D-E86D-4EC8-83FC-7F1F0F6EDF65}">
  <dimension ref="A1:F190"/>
  <sheetViews>
    <sheetView workbookViewId="0">
      <selection activeCell="K19" sqref="K19"/>
    </sheetView>
  </sheetViews>
  <sheetFormatPr baseColWidth="10" defaultRowHeight="15" x14ac:dyDescent="0.25"/>
  <cols>
    <col min="1" max="1" width="70.5703125" bestFit="1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3" spans="1:6" x14ac:dyDescent="0.25">
      <c r="A3" s="2" t="s">
        <v>2</v>
      </c>
    </row>
    <row r="4" spans="1:6" x14ac:dyDescent="0.25">
      <c r="A4" s="2" t="s">
        <v>3</v>
      </c>
    </row>
    <row r="5" spans="1:6" x14ac:dyDescent="0.25">
      <c r="A5" s="2" t="s">
        <v>4</v>
      </c>
    </row>
    <row r="6" spans="1:6" x14ac:dyDescent="0.25">
      <c r="A6" s="2" t="s">
        <v>5</v>
      </c>
    </row>
    <row r="7" spans="1:6" x14ac:dyDescent="0.25">
      <c r="A7" s="2" t="s">
        <v>6</v>
      </c>
    </row>
    <row r="8" spans="1:6" ht="15.75" thickBot="1" x14ac:dyDescent="0.3">
      <c r="A8" s="3" t="s">
        <v>671</v>
      </c>
      <c r="B8" s="4"/>
      <c r="C8" s="4" t="s">
        <v>8</v>
      </c>
      <c r="D8" s="4" t="s">
        <v>9</v>
      </c>
      <c r="E8" s="4" t="s">
        <v>10</v>
      </c>
      <c r="F8" s="4" t="s">
        <v>11</v>
      </c>
    </row>
    <row r="9" spans="1:6" x14ac:dyDescent="0.25">
      <c r="A9" s="5">
        <v>105</v>
      </c>
      <c r="B9" s="14">
        <v>17</v>
      </c>
      <c r="C9" s="8">
        <f>-7-120</f>
        <v>-127</v>
      </c>
      <c r="D9" s="18">
        <f>-7-120</f>
        <v>-127</v>
      </c>
      <c r="E9" s="16" t="s">
        <v>119</v>
      </c>
      <c r="F9" s="18">
        <v>-395</v>
      </c>
    </row>
    <row r="10" spans="1:6" x14ac:dyDescent="0.25">
      <c r="A10" s="6" t="s">
        <v>672</v>
      </c>
      <c r="B10" s="13"/>
      <c r="C10" s="8"/>
      <c r="D10" s="17"/>
      <c r="E10" s="15"/>
      <c r="F10" s="17"/>
    </row>
    <row r="11" spans="1:6" x14ac:dyDescent="0.25">
      <c r="A11" s="7"/>
      <c r="B11" s="13"/>
      <c r="C11" s="8">
        <f>-7-118</f>
        <v>-125</v>
      </c>
      <c r="D11" s="17"/>
      <c r="E11" s="15"/>
      <c r="F11" s="17"/>
    </row>
    <row r="12" spans="1:6" x14ac:dyDescent="0.25">
      <c r="A12" s="7"/>
      <c r="B12" s="13"/>
      <c r="C12" s="8"/>
      <c r="D12" s="17"/>
      <c r="E12" s="15"/>
      <c r="F12" s="17"/>
    </row>
    <row r="13" spans="1:6" x14ac:dyDescent="0.25">
      <c r="A13" s="7"/>
      <c r="B13" s="13"/>
      <c r="C13" s="8">
        <f>-7-118</f>
        <v>-125</v>
      </c>
      <c r="D13" s="17"/>
      <c r="E13" s="15"/>
      <c r="F13" s="17"/>
    </row>
    <row r="14" spans="1:6" x14ac:dyDescent="0.25">
      <c r="A14" s="9">
        <v>106</v>
      </c>
      <c r="B14" s="19">
        <v>34</v>
      </c>
      <c r="C14" s="12" t="s">
        <v>122</v>
      </c>
      <c r="D14" s="21" t="s">
        <v>189</v>
      </c>
      <c r="E14" s="20" t="s">
        <v>122</v>
      </c>
      <c r="F14" s="21">
        <v>300</v>
      </c>
    </row>
    <row r="15" spans="1:6" x14ac:dyDescent="0.25">
      <c r="A15" s="10" t="s">
        <v>673</v>
      </c>
      <c r="B15" s="19"/>
      <c r="C15" s="12"/>
      <c r="D15" s="21"/>
      <c r="E15" s="20"/>
      <c r="F15" s="21"/>
    </row>
    <row r="16" spans="1:6" x14ac:dyDescent="0.25">
      <c r="A16" s="11"/>
      <c r="B16" s="19"/>
      <c r="C16" s="12" t="s">
        <v>122</v>
      </c>
      <c r="D16" s="21"/>
      <c r="E16" s="20"/>
      <c r="F16" s="21"/>
    </row>
    <row r="17" spans="1:6" x14ac:dyDescent="0.25">
      <c r="A17" s="11"/>
      <c r="B17" s="19"/>
      <c r="C17" s="12"/>
      <c r="D17" s="21"/>
      <c r="E17" s="20"/>
      <c r="F17" s="21"/>
    </row>
    <row r="18" spans="1:6" x14ac:dyDescent="0.25">
      <c r="A18" s="11"/>
      <c r="B18" s="19"/>
      <c r="C18" s="12" t="s">
        <v>162</v>
      </c>
      <c r="D18" s="21"/>
      <c r="E18" s="20"/>
      <c r="F18" s="21"/>
    </row>
    <row r="19" spans="1:6" ht="38.25" thickBot="1" x14ac:dyDescent="0.3">
      <c r="A19" s="22" t="s">
        <v>17</v>
      </c>
    </row>
    <row r="20" spans="1:6" ht="67.5" x14ac:dyDescent="0.25">
      <c r="A20" s="27" t="s">
        <v>116</v>
      </c>
    </row>
    <row r="21" spans="1:6" x14ac:dyDescent="0.25">
      <c r="A21" s="23" t="s">
        <v>102</v>
      </c>
    </row>
    <row r="22" spans="1:6" ht="15.75" thickBot="1" x14ac:dyDescent="0.3">
      <c r="A22" s="3" t="s">
        <v>674</v>
      </c>
      <c r="B22" s="4"/>
      <c r="C22" s="4" t="s">
        <v>8</v>
      </c>
      <c r="D22" s="4" t="s">
        <v>9</v>
      </c>
      <c r="E22" s="4" t="s">
        <v>10</v>
      </c>
      <c r="F22" s="4" t="s">
        <v>11</v>
      </c>
    </row>
    <row r="23" spans="1:6" x14ac:dyDescent="0.25">
      <c r="A23" s="5">
        <v>251</v>
      </c>
      <c r="B23" s="25">
        <v>13</v>
      </c>
      <c r="C23" s="8" t="s">
        <v>105</v>
      </c>
      <c r="D23" s="18" t="s">
        <v>105</v>
      </c>
      <c r="E23" s="18" t="s">
        <v>40</v>
      </c>
      <c r="F23" s="16">
        <v>-395</v>
      </c>
    </row>
    <row r="24" spans="1:6" x14ac:dyDescent="0.25">
      <c r="A24" s="6" t="s">
        <v>675</v>
      </c>
      <c r="B24" s="24"/>
      <c r="C24" s="8"/>
      <c r="D24" s="17"/>
      <c r="E24" s="17"/>
      <c r="F24" s="15"/>
    </row>
    <row r="25" spans="1:6" x14ac:dyDescent="0.25">
      <c r="A25" s="7"/>
      <c r="B25" s="24"/>
      <c r="C25" s="8" t="s">
        <v>105</v>
      </c>
      <c r="D25" s="17"/>
      <c r="E25" s="17"/>
      <c r="F25" s="15"/>
    </row>
    <row r="26" spans="1:6" x14ac:dyDescent="0.25">
      <c r="A26" s="7"/>
      <c r="B26" s="24"/>
      <c r="C26" s="8"/>
      <c r="D26" s="17"/>
      <c r="E26" s="17"/>
      <c r="F26" s="15"/>
    </row>
    <row r="27" spans="1:6" x14ac:dyDescent="0.25">
      <c r="A27" s="7"/>
      <c r="B27" s="24"/>
      <c r="C27" s="8" t="s">
        <v>105</v>
      </c>
      <c r="D27" s="17"/>
      <c r="E27" s="17"/>
      <c r="F27" s="15"/>
    </row>
    <row r="28" spans="1:6" x14ac:dyDescent="0.25">
      <c r="A28" s="9">
        <v>252</v>
      </c>
      <c r="B28" s="26">
        <v>11</v>
      </c>
      <c r="C28" s="12" t="s">
        <v>566</v>
      </c>
      <c r="D28" s="21">
        <f>7.5-120</f>
        <v>-112.5</v>
      </c>
      <c r="E28" s="21" t="s">
        <v>566</v>
      </c>
      <c r="F28" s="20">
        <v>300</v>
      </c>
    </row>
    <row r="29" spans="1:6" x14ac:dyDescent="0.25">
      <c r="A29" s="10" t="s">
        <v>676</v>
      </c>
      <c r="B29" s="26"/>
      <c r="C29" s="12"/>
      <c r="D29" s="21"/>
      <c r="E29" s="21"/>
      <c r="F29" s="20"/>
    </row>
    <row r="30" spans="1:6" x14ac:dyDescent="0.25">
      <c r="A30" s="11"/>
      <c r="B30" s="26"/>
      <c r="C30" s="12" t="s">
        <v>39</v>
      </c>
      <c r="D30" s="21"/>
      <c r="E30" s="21"/>
      <c r="F30" s="20"/>
    </row>
    <row r="31" spans="1:6" x14ac:dyDescent="0.25">
      <c r="A31" s="11"/>
      <c r="B31" s="26"/>
      <c r="C31" s="12"/>
      <c r="D31" s="21"/>
      <c r="E31" s="21"/>
      <c r="F31" s="20"/>
    </row>
    <row r="32" spans="1:6" x14ac:dyDescent="0.25">
      <c r="A32" s="11"/>
      <c r="B32" s="26"/>
      <c r="C32" s="12" t="s">
        <v>44</v>
      </c>
      <c r="D32" s="21"/>
      <c r="E32" s="21"/>
      <c r="F32" s="20"/>
    </row>
    <row r="33" spans="1:6" ht="37.5" x14ac:dyDescent="0.25">
      <c r="A33" s="22" t="s">
        <v>17</v>
      </c>
    </row>
    <row r="34" spans="1:6" ht="15.75" thickBot="1" x14ac:dyDescent="0.3">
      <c r="A34" s="3" t="s">
        <v>677</v>
      </c>
      <c r="B34" s="4"/>
      <c r="C34" s="4" t="s">
        <v>8</v>
      </c>
      <c r="D34" s="4" t="s">
        <v>9</v>
      </c>
      <c r="E34" s="4" t="s">
        <v>10</v>
      </c>
      <c r="F34" s="4" t="s">
        <v>11</v>
      </c>
    </row>
    <row r="35" spans="1:6" x14ac:dyDescent="0.25">
      <c r="A35" s="5">
        <v>259</v>
      </c>
      <c r="B35" s="25">
        <v>20</v>
      </c>
      <c r="C35" s="8" t="s">
        <v>517</v>
      </c>
      <c r="D35" s="16" t="s">
        <v>517</v>
      </c>
      <c r="E35" s="18" t="s">
        <v>463</v>
      </c>
      <c r="F35" s="16">
        <v>-115</v>
      </c>
    </row>
    <row r="36" spans="1:6" x14ac:dyDescent="0.25">
      <c r="A36" s="6" t="s">
        <v>678</v>
      </c>
      <c r="B36" s="24"/>
      <c r="C36" s="8"/>
      <c r="D36" s="15"/>
      <c r="E36" s="17"/>
      <c r="F36" s="15"/>
    </row>
    <row r="37" spans="1:6" x14ac:dyDescent="0.25">
      <c r="A37" s="7"/>
      <c r="B37" s="24"/>
      <c r="C37" s="8" t="s">
        <v>517</v>
      </c>
      <c r="D37" s="15"/>
      <c r="E37" s="17"/>
      <c r="F37" s="15"/>
    </row>
    <row r="38" spans="1:6" x14ac:dyDescent="0.25">
      <c r="A38" s="7"/>
      <c r="B38" s="24"/>
      <c r="C38" s="8"/>
      <c r="D38" s="15"/>
      <c r="E38" s="17"/>
      <c r="F38" s="15"/>
    </row>
    <row r="39" spans="1:6" x14ac:dyDescent="0.25">
      <c r="A39" s="7"/>
      <c r="B39" s="24"/>
      <c r="C39" s="8">
        <f>-1.5+105</f>
        <v>103.5</v>
      </c>
      <c r="D39" s="15"/>
      <c r="E39" s="17"/>
      <c r="F39" s="15"/>
    </row>
    <row r="40" spans="1:6" x14ac:dyDescent="0.25">
      <c r="A40" s="9">
        <v>260</v>
      </c>
      <c r="B40" s="26">
        <v>12</v>
      </c>
      <c r="C40" s="12" t="s">
        <v>463</v>
      </c>
      <c r="D40" s="20">
        <f>1.5-120</f>
        <v>-118.5</v>
      </c>
      <c r="E40" s="21" t="s">
        <v>428</v>
      </c>
      <c r="F40" s="20">
        <v>-105</v>
      </c>
    </row>
    <row r="41" spans="1:6" x14ac:dyDescent="0.25">
      <c r="A41" s="10" t="s">
        <v>679</v>
      </c>
      <c r="B41" s="26"/>
      <c r="C41" s="12"/>
      <c r="D41" s="20"/>
      <c r="E41" s="21"/>
      <c r="F41" s="20"/>
    </row>
    <row r="42" spans="1:6" x14ac:dyDescent="0.25">
      <c r="A42" s="11"/>
      <c r="B42" s="26"/>
      <c r="C42" s="12" t="s">
        <v>373</v>
      </c>
      <c r="D42" s="20"/>
      <c r="E42" s="21"/>
      <c r="F42" s="20"/>
    </row>
    <row r="43" spans="1:6" x14ac:dyDescent="0.25">
      <c r="A43" s="11"/>
      <c r="B43" s="26"/>
      <c r="C43" s="12"/>
      <c r="D43" s="20"/>
      <c r="E43" s="21"/>
      <c r="F43" s="20"/>
    </row>
    <row r="44" spans="1:6" x14ac:dyDescent="0.25">
      <c r="A44" s="11"/>
      <c r="B44" s="26"/>
      <c r="C44" s="12" t="s">
        <v>373</v>
      </c>
      <c r="D44" s="20"/>
      <c r="E44" s="21"/>
      <c r="F44" s="20"/>
    </row>
    <row r="45" spans="1:6" ht="37.5" x14ac:dyDescent="0.25">
      <c r="A45" s="22" t="s">
        <v>17</v>
      </c>
    </row>
    <row r="46" spans="1:6" ht="15.75" thickBot="1" x14ac:dyDescent="0.3">
      <c r="A46" s="3" t="s">
        <v>677</v>
      </c>
      <c r="B46" s="4"/>
      <c r="C46" s="4" t="s">
        <v>8</v>
      </c>
      <c r="D46" s="4" t="s">
        <v>9</v>
      </c>
      <c r="E46" s="4" t="s">
        <v>10</v>
      </c>
      <c r="F46" s="4" t="s">
        <v>11</v>
      </c>
    </row>
    <row r="47" spans="1:6" x14ac:dyDescent="0.25">
      <c r="A47" s="5">
        <v>255</v>
      </c>
      <c r="B47" s="14">
        <v>27</v>
      </c>
      <c r="C47" s="8" t="s">
        <v>681</v>
      </c>
      <c r="D47" s="16">
        <f>8.5-112</f>
        <v>-103.5</v>
      </c>
      <c r="E47" s="16" t="s">
        <v>682</v>
      </c>
      <c r="F47" s="18">
        <v>350</v>
      </c>
    </row>
    <row r="48" spans="1:6" x14ac:dyDescent="0.25">
      <c r="A48" s="6" t="s">
        <v>680</v>
      </c>
      <c r="B48" s="13"/>
      <c r="C48" s="8"/>
      <c r="D48" s="15"/>
      <c r="E48" s="15"/>
      <c r="F48" s="17"/>
    </row>
    <row r="49" spans="1:6" x14ac:dyDescent="0.25">
      <c r="A49" s="7"/>
      <c r="B49" s="13"/>
      <c r="C49" s="8" t="s">
        <v>681</v>
      </c>
      <c r="D49" s="15"/>
      <c r="E49" s="15"/>
      <c r="F49" s="17"/>
    </row>
    <row r="50" spans="1:6" x14ac:dyDescent="0.25">
      <c r="A50" s="7"/>
      <c r="B50" s="13"/>
      <c r="C50" s="8"/>
      <c r="D50" s="15"/>
      <c r="E50" s="15"/>
      <c r="F50" s="17"/>
    </row>
    <row r="51" spans="1:6" x14ac:dyDescent="0.25">
      <c r="A51" s="7"/>
      <c r="B51" s="13"/>
      <c r="C51" s="8" t="s">
        <v>681</v>
      </c>
      <c r="D51" s="15"/>
      <c r="E51" s="15"/>
      <c r="F51" s="17"/>
    </row>
    <row r="52" spans="1:6" x14ac:dyDescent="0.25">
      <c r="A52" s="9">
        <v>256</v>
      </c>
      <c r="B52" s="19">
        <v>31</v>
      </c>
      <c r="C52" s="12">
        <f>-8.5-108</f>
        <v>-116.5</v>
      </c>
      <c r="D52" s="20">
        <f>-8.5-108</f>
        <v>-116.5</v>
      </c>
      <c r="E52" s="20" t="s">
        <v>681</v>
      </c>
      <c r="F52" s="21">
        <v>-470</v>
      </c>
    </row>
    <row r="53" spans="1:6" x14ac:dyDescent="0.25">
      <c r="A53" s="10" t="s">
        <v>683</v>
      </c>
      <c r="B53" s="19"/>
      <c r="C53" s="12"/>
      <c r="D53" s="20"/>
      <c r="E53" s="20"/>
      <c r="F53" s="21"/>
    </row>
    <row r="54" spans="1:6" x14ac:dyDescent="0.25">
      <c r="A54" s="11"/>
      <c r="B54" s="19"/>
      <c r="C54" s="12">
        <f>-9.5-110</f>
        <v>-119.5</v>
      </c>
      <c r="D54" s="20"/>
      <c r="E54" s="20"/>
      <c r="F54" s="21"/>
    </row>
    <row r="55" spans="1:6" x14ac:dyDescent="0.25">
      <c r="A55" s="11"/>
      <c r="B55" s="19"/>
      <c r="C55" s="12"/>
      <c r="D55" s="20"/>
      <c r="E55" s="20"/>
      <c r="F55" s="21"/>
    </row>
    <row r="56" spans="1:6" x14ac:dyDescent="0.25">
      <c r="A56" s="11"/>
      <c r="B56" s="19"/>
      <c r="C56" s="12">
        <f>-8.5-112</f>
        <v>-120.5</v>
      </c>
      <c r="D56" s="20"/>
      <c r="E56" s="20"/>
      <c r="F56" s="21"/>
    </row>
    <row r="57" spans="1:6" ht="37.5" x14ac:dyDescent="0.25">
      <c r="A57" s="22" t="s">
        <v>17</v>
      </c>
    </row>
    <row r="58" spans="1:6" ht="15.75" thickBot="1" x14ac:dyDescent="0.3">
      <c r="A58" s="3" t="s">
        <v>677</v>
      </c>
      <c r="B58" s="4"/>
      <c r="C58" s="4" t="s">
        <v>8</v>
      </c>
      <c r="D58" s="4" t="s">
        <v>9</v>
      </c>
      <c r="E58" s="4" t="s">
        <v>10</v>
      </c>
      <c r="F58" s="4" t="s">
        <v>11</v>
      </c>
    </row>
    <row r="59" spans="1:6" x14ac:dyDescent="0.25">
      <c r="A59" s="5">
        <v>253</v>
      </c>
      <c r="B59" s="14">
        <v>9</v>
      </c>
      <c r="C59" s="8" t="s">
        <v>74</v>
      </c>
      <c r="D59" s="18">
        <f>6-110</f>
        <v>-104</v>
      </c>
      <c r="E59" s="18" t="s">
        <v>74</v>
      </c>
      <c r="F59" s="18">
        <v>235</v>
      </c>
    </row>
    <row r="60" spans="1:6" x14ac:dyDescent="0.25">
      <c r="A60" s="6" t="s">
        <v>684</v>
      </c>
      <c r="B60" s="13"/>
      <c r="C60" s="8"/>
      <c r="D60" s="17"/>
      <c r="E60" s="17"/>
      <c r="F60" s="17"/>
    </row>
    <row r="61" spans="1:6" x14ac:dyDescent="0.25">
      <c r="A61" s="7"/>
      <c r="B61" s="13"/>
      <c r="C61" s="8" t="s">
        <v>112</v>
      </c>
      <c r="D61" s="17"/>
      <c r="E61" s="17"/>
      <c r="F61" s="17"/>
    </row>
    <row r="62" spans="1:6" x14ac:dyDescent="0.25">
      <c r="A62" s="7"/>
      <c r="B62" s="13"/>
      <c r="C62" s="8"/>
      <c r="D62" s="17"/>
      <c r="E62" s="17"/>
      <c r="F62" s="17"/>
    </row>
    <row r="63" spans="1:6" x14ac:dyDescent="0.25">
      <c r="A63" s="7"/>
      <c r="B63" s="13"/>
      <c r="C63" s="8" t="s">
        <v>112</v>
      </c>
      <c r="D63" s="17"/>
      <c r="E63" s="17"/>
      <c r="F63" s="17"/>
    </row>
    <row r="64" spans="1:6" x14ac:dyDescent="0.25">
      <c r="A64" s="9">
        <v>254</v>
      </c>
      <c r="B64" s="19">
        <v>23</v>
      </c>
      <c r="C64" s="12">
        <f>-6-110</f>
        <v>-116</v>
      </c>
      <c r="D64" s="21">
        <f>-6-110</f>
        <v>-116</v>
      </c>
      <c r="E64" s="21" t="s">
        <v>77</v>
      </c>
      <c r="F64" s="21">
        <v>-290</v>
      </c>
    </row>
    <row r="65" spans="1:6" x14ac:dyDescent="0.25">
      <c r="A65" s="10" t="s">
        <v>685</v>
      </c>
      <c r="B65" s="19"/>
      <c r="C65" s="12"/>
      <c r="D65" s="21"/>
      <c r="E65" s="21"/>
      <c r="F65" s="21"/>
    </row>
    <row r="66" spans="1:6" x14ac:dyDescent="0.25">
      <c r="A66" s="11"/>
      <c r="B66" s="19"/>
      <c r="C66" s="12">
        <f>-6-110</f>
        <v>-116</v>
      </c>
      <c r="D66" s="21"/>
      <c r="E66" s="21"/>
      <c r="F66" s="21"/>
    </row>
    <row r="67" spans="1:6" x14ac:dyDescent="0.25">
      <c r="A67" s="11"/>
      <c r="B67" s="19"/>
      <c r="C67" s="12"/>
      <c r="D67" s="21"/>
      <c r="E67" s="21"/>
      <c r="F67" s="21"/>
    </row>
    <row r="68" spans="1:6" x14ac:dyDescent="0.25">
      <c r="A68" s="11"/>
      <c r="B68" s="19"/>
      <c r="C68" s="12">
        <f>-5.5-120</f>
        <v>-125.5</v>
      </c>
      <c r="D68" s="21"/>
      <c r="E68" s="21"/>
      <c r="F68" s="21"/>
    </row>
    <row r="69" spans="1:6" ht="37.5" x14ac:dyDescent="0.25">
      <c r="A69" s="22" t="s">
        <v>17</v>
      </c>
    </row>
    <row r="70" spans="1:6" ht="15.75" thickBot="1" x14ac:dyDescent="0.3">
      <c r="A70" s="3" t="s">
        <v>677</v>
      </c>
      <c r="B70" s="4"/>
      <c r="C70" s="4" t="s">
        <v>8</v>
      </c>
      <c r="D70" s="4" t="s">
        <v>9</v>
      </c>
      <c r="E70" s="4" t="s">
        <v>10</v>
      </c>
      <c r="F70" s="4" t="s">
        <v>11</v>
      </c>
    </row>
    <row r="71" spans="1:6" x14ac:dyDescent="0.25">
      <c r="A71" s="5">
        <v>257</v>
      </c>
      <c r="B71" s="25">
        <v>17</v>
      </c>
      <c r="C71" s="8">
        <f>-7-105</f>
        <v>-112</v>
      </c>
      <c r="D71" s="16">
        <f>-7-105</f>
        <v>-112</v>
      </c>
      <c r="E71" s="18" t="s">
        <v>42</v>
      </c>
      <c r="F71" s="16">
        <v>-345</v>
      </c>
    </row>
    <row r="72" spans="1:6" x14ac:dyDescent="0.25">
      <c r="A72" s="6" t="s">
        <v>686</v>
      </c>
      <c r="B72" s="24"/>
      <c r="C72" s="8"/>
      <c r="D72" s="15"/>
      <c r="E72" s="17"/>
      <c r="F72" s="15"/>
    </row>
    <row r="73" spans="1:6" x14ac:dyDescent="0.25">
      <c r="A73" s="7"/>
      <c r="B73" s="24"/>
      <c r="C73" s="8">
        <f>-7-112</f>
        <v>-119</v>
      </c>
      <c r="D73" s="15"/>
      <c r="E73" s="17"/>
      <c r="F73" s="15"/>
    </row>
    <row r="74" spans="1:6" x14ac:dyDescent="0.25">
      <c r="A74" s="7"/>
      <c r="B74" s="24"/>
      <c r="C74" s="8"/>
      <c r="D74" s="15"/>
      <c r="E74" s="17"/>
      <c r="F74" s="15"/>
    </row>
    <row r="75" spans="1:6" x14ac:dyDescent="0.25">
      <c r="A75" s="7"/>
      <c r="B75" s="24"/>
      <c r="C75" s="8">
        <f>-6.5-115</f>
        <v>-121.5</v>
      </c>
      <c r="D75" s="15"/>
      <c r="E75" s="17"/>
      <c r="F75" s="15"/>
    </row>
    <row r="76" spans="1:6" x14ac:dyDescent="0.25">
      <c r="A76" s="9">
        <v>258</v>
      </c>
      <c r="B76" s="26">
        <v>3</v>
      </c>
      <c r="C76" s="12" t="s">
        <v>566</v>
      </c>
      <c r="D76" s="20">
        <f>7-115</f>
        <v>-108</v>
      </c>
      <c r="E76" s="21" t="s">
        <v>44</v>
      </c>
      <c r="F76" s="20">
        <v>280</v>
      </c>
    </row>
    <row r="77" spans="1:6" x14ac:dyDescent="0.25">
      <c r="A77" s="10" t="s">
        <v>687</v>
      </c>
      <c r="B77" s="26"/>
      <c r="C77" s="12"/>
      <c r="D77" s="20"/>
      <c r="E77" s="21"/>
      <c r="F77" s="20"/>
    </row>
    <row r="78" spans="1:6" x14ac:dyDescent="0.25">
      <c r="A78" s="11"/>
      <c r="B78" s="26"/>
      <c r="C78" s="12" t="s">
        <v>566</v>
      </c>
      <c r="D78" s="20"/>
      <c r="E78" s="21"/>
      <c r="F78" s="20"/>
    </row>
    <row r="79" spans="1:6" x14ac:dyDescent="0.25">
      <c r="A79" s="11"/>
      <c r="B79" s="26"/>
      <c r="C79" s="12"/>
      <c r="D79" s="20"/>
      <c r="E79" s="21"/>
      <c r="F79" s="20"/>
    </row>
    <row r="80" spans="1:6" x14ac:dyDescent="0.25">
      <c r="A80" s="11"/>
      <c r="B80" s="26"/>
      <c r="C80" s="12" t="s">
        <v>566</v>
      </c>
      <c r="D80" s="20"/>
      <c r="E80" s="21"/>
      <c r="F80" s="20"/>
    </row>
    <row r="81" spans="1:6" ht="37.5" x14ac:dyDescent="0.25">
      <c r="A81" s="22" t="s">
        <v>17</v>
      </c>
    </row>
    <row r="82" spans="1:6" ht="15.75" thickBot="1" x14ac:dyDescent="0.3">
      <c r="A82" s="3" t="s">
        <v>677</v>
      </c>
      <c r="B82" s="4"/>
      <c r="C82" s="4" t="s">
        <v>8</v>
      </c>
      <c r="D82" s="4" t="s">
        <v>9</v>
      </c>
      <c r="E82" s="4" t="s">
        <v>10</v>
      </c>
      <c r="F82" s="4" t="s">
        <v>11</v>
      </c>
    </row>
    <row r="83" spans="1:6" x14ac:dyDescent="0.25">
      <c r="A83" s="5">
        <v>261</v>
      </c>
      <c r="B83" s="14">
        <v>27</v>
      </c>
      <c r="C83" s="8">
        <f>-3-120</f>
        <v>-123</v>
      </c>
      <c r="D83" s="18">
        <f>-3-120</f>
        <v>-123</v>
      </c>
      <c r="E83" s="16" t="s">
        <v>463</v>
      </c>
      <c r="F83" s="18">
        <v>-175</v>
      </c>
    </row>
    <row r="84" spans="1:6" x14ac:dyDescent="0.25">
      <c r="A84" s="6" t="s">
        <v>688</v>
      </c>
      <c r="B84" s="13"/>
      <c r="C84" s="8"/>
      <c r="D84" s="17"/>
      <c r="E84" s="15"/>
      <c r="F84" s="17"/>
    </row>
    <row r="85" spans="1:6" x14ac:dyDescent="0.25">
      <c r="A85" s="7"/>
      <c r="B85" s="13"/>
      <c r="C85" s="8">
        <f>-3-120</f>
        <v>-123</v>
      </c>
      <c r="D85" s="17"/>
      <c r="E85" s="15"/>
      <c r="F85" s="17"/>
    </row>
    <row r="86" spans="1:6" x14ac:dyDescent="0.25">
      <c r="A86" s="7"/>
      <c r="B86" s="13"/>
      <c r="C86" s="8"/>
      <c r="D86" s="17"/>
      <c r="E86" s="15"/>
      <c r="F86" s="17"/>
    </row>
    <row r="87" spans="1:6" x14ac:dyDescent="0.25">
      <c r="A87" s="7"/>
      <c r="B87" s="13"/>
      <c r="C87" s="8">
        <f>-3-120</f>
        <v>-123</v>
      </c>
      <c r="D87" s="17"/>
      <c r="E87" s="15"/>
      <c r="F87" s="17"/>
    </row>
    <row r="88" spans="1:6" x14ac:dyDescent="0.25">
      <c r="A88" s="9">
        <v>262</v>
      </c>
      <c r="B88" s="19">
        <v>30</v>
      </c>
      <c r="C88" s="12" t="s">
        <v>463</v>
      </c>
      <c r="D88" s="21" t="s">
        <v>418</v>
      </c>
      <c r="E88" s="20" t="s">
        <v>428</v>
      </c>
      <c r="F88" s="21">
        <v>145</v>
      </c>
    </row>
    <row r="89" spans="1:6" x14ac:dyDescent="0.25">
      <c r="A89" s="10" t="s">
        <v>689</v>
      </c>
      <c r="B89" s="19"/>
      <c r="C89" s="12"/>
      <c r="D89" s="21"/>
      <c r="E89" s="20"/>
      <c r="F89" s="21"/>
    </row>
    <row r="90" spans="1:6" x14ac:dyDescent="0.25">
      <c r="A90" s="11"/>
      <c r="B90" s="19"/>
      <c r="C90" s="12" t="s">
        <v>24</v>
      </c>
      <c r="D90" s="21"/>
      <c r="E90" s="20"/>
      <c r="F90" s="21"/>
    </row>
    <row r="91" spans="1:6" x14ac:dyDescent="0.25">
      <c r="A91" s="11"/>
      <c r="B91" s="19"/>
      <c r="C91" s="12"/>
      <c r="D91" s="21"/>
      <c r="E91" s="20"/>
      <c r="F91" s="21"/>
    </row>
    <row r="92" spans="1:6" x14ac:dyDescent="0.25">
      <c r="A92" s="11"/>
      <c r="B92" s="19"/>
      <c r="C92" s="12" t="s">
        <v>25</v>
      </c>
      <c r="D92" s="21"/>
      <c r="E92" s="20"/>
      <c r="F92" s="21"/>
    </row>
    <row r="93" spans="1:6" ht="37.5" x14ac:dyDescent="0.25">
      <c r="A93" s="22" t="s">
        <v>17</v>
      </c>
    </row>
    <row r="94" spans="1:6" ht="15.75" thickBot="1" x14ac:dyDescent="0.3">
      <c r="A94" s="3" t="s">
        <v>677</v>
      </c>
      <c r="B94" s="4"/>
      <c r="C94" s="4" t="s">
        <v>8</v>
      </c>
      <c r="D94" s="4" t="s">
        <v>9</v>
      </c>
      <c r="E94" s="4" t="s">
        <v>10</v>
      </c>
      <c r="F94" s="4" t="s">
        <v>11</v>
      </c>
    </row>
    <row r="95" spans="1:6" x14ac:dyDescent="0.25">
      <c r="A95" s="5">
        <v>269</v>
      </c>
      <c r="B95" s="25">
        <v>25</v>
      </c>
      <c r="C95" s="8">
        <f>-3.5-105</f>
        <v>-108.5</v>
      </c>
      <c r="D95" s="16">
        <f>-3.5-105</f>
        <v>-108.5</v>
      </c>
      <c r="E95" s="18" t="s">
        <v>691</v>
      </c>
      <c r="F95" s="16">
        <v>-198</v>
      </c>
    </row>
    <row r="96" spans="1:6" x14ac:dyDescent="0.25">
      <c r="A96" s="6" t="s">
        <v>690</v>
      </c>
      <c r="B96" s="24"/>
      <c r="C96" s="8"/>
      <c r="D96" s="15"/>
      <c r="E96" s="17"/>
      <c r="F96" s="15"/>
    </row>
    <row r="97" spans="1:6" x14ac:dyDescent="0.25">
      <c r="A97" s="7"/>
      <c r="B97" s="24"/>
      <c r="C97" s="8">
        <f>-3.5-105</f>
        <v>-108.5</v>
      </c>
      <c r="D97" s="15"/>
      <c r="E97" s="17"/>
      <c r="F97" s="15"/>
    </row>
    <row r="98" spans="1:6" x14ac:dyDescent="0.25">
      <c r="A98" s="7"/>
      <c r="B98" s="24"/>
      <c r="C98" s="8"/>
      <c r="D98" s="15"/>
      <c r="E98" s="17"/>
      <c r="F98" s="15"/>
    </row>
    <row r="99" spans="1:6" x14ac:dyDescent="0.25">
      <c r="A99" s="7"/>
      <c r="B99" s="24"/>
      <c r="C99" s="8">
        <f>-3.5-105</f>
        <v>-108.5</v>
      </c>
      <c r="D99" s="15"/>
      <c r="E99" s="17"/>
      <c r="F99" s="15"/>
    </row>
    <row r="100" spans="1:6" x14ac:dyDescent="0.25">
      <c r="A100" s="9">
        <v>270</v>
      </c>
      <c r="B100" s="26">
        <v>19</v>
      </c>
      <c r="C100" s="12" t="s">
        <v>615</v>
      </c>
      <c r="D100" s="20">
        <f>3.5-115</f>
        <v>-111.5</v>
      </c>
      <c r="E100" s="21" t="s">
        <v>693</v>
      </c>
      <c r="F100" s="20">
        <v>160</v>
      </c>
    </row>
    <row r="101" spans="1:6" x14ac:dyDescent="0.25">
      <c r="A101" s="10" t="s">
        <v>692</v>
      </c>
      <c r="B101" s="26"/>
      <c r="C101" s="12"/>
      <c r="D101" s="20"/>
      <c r="E101" s="21"/>
      <c r="F101" s="20"/>
    </row>
    <row r="102" spans="1:6" x14ac:dyDescent="0.25">
      <c r="A102" s="11"/>
      <c r="B102" s="26"/>
      <c r="C102" s="12" t="s">
        <v>693</v>
      </c>
      <c r="D102" s="20"/>
      <c r="E102" s="21"/>
      <c r="F102" s="20"/>
    </row>
    <row r="103" spans="1:6" x14ac:dyDescent="0.25">
      <c r="A103" s="11"/>
      <c r="B103" s="26"/>
      <c r="C103" s="12"/>
      <c r="D103" s="20"/>
      <c r="E103" s="21"/>
      <c r="F103" s="20"/>
    </row>
    <row r="104" spans="1:6" x14ac:dyDescent="0.25">
      <c r="A104" s="11"/>
      <c r="B104" s="26"/>
      <c r="C104" s="12" t="s">
        <v>615</v>
      </c>
      <c r="D104" s="20"/>
      <c r="E104" s="21"/>
      <c r="F104" s="20"/>
    </row>
    <row r="105" spans="1:6" ht="37.5" x14ac:dyDescent="0.25">
      <c r="A105" s="22" t="s">
        <v>17</v>
      </c>
    </row>
    <row r="106" spans="1:6" ht="15.75" thickBot="1" x14ac:dyDescent="0.3">
      <c r="A106" s="3" t="s">
        <v>677</v>
      </c>
      <c r="B106" s="4"/>
      <c r="C106" s="4" t="s">
        <v>8</v>
      </c>
      <c r="D106" s="4" t="s">
        <v>9</v>
      </c>
      <c r="E106" s="4" t="s">
        <v>10</v>
      </c>
      <c r="F106" s="4" t="s">
        <v>11</v>
      </c>
    </row>
    <row r="107" spans="1:6" x14ac:dyDescent="0.25">
      <c r="A107" s="5">
        <v>263</v>
      </c>
      <c r="B107" s="25">
        <v>29</v>
      </c>
      <c r="C107" s="8">
        <f>-3.5-102</f>
        <v>-105.5</v>
      </c>
      <c r="D107" s="18">
        <f>-5.5-110</f>
        <v>-115.5</v>
      </c>
      <c r="E107" s="16" t="s">
        <v>522</v>
      </c>
      <c r="F107" s="16">
        <v>-260</v>
      </c>
    </row>
    <row r="108" spans="1:6" x14ac:dyDescent="0.25">
      <c r="A108" s="6" t="s">
        <v>694</v>
      </c>
      <c r="B108" s="24"/>
      <c r="C108" s="8"/>
      <c r="D108" s="17"/>
      <c r="E108" s="15"/>
      <c r="F108" s="15"/>
    </row>
    <row r="109" spans="1:6" x14ac:dyDescent="0.25">
      <c r="A109" s="7"/>
      <c r="B109" s="24"/>
      <c r="C109" s="8">
        <f>-3.5-112</f>
        <v>-115.5</v>
      </c>
      <c r="D109" s="17"/>
      <c r="E109" s="15"/>
      <c r="F109" s="15"/>
    </row>
    <row r="110" spans="1:6" x14ac:dyDescent="0.25">
      <c r="A110" s="7"/>
      <c r="B110" s="24"/>
      <c r="C110" s="8"/>
      <c r="D110" s="17"/>
      <c r="E110" s="15"/>
      <c r="F110" s="15"/>
    </row>
    <row r="111" spans="1:6" x14ac:dyDescent="0.25">
      <c r="A111" s="7"/>
      <c r="B111" s="24"/>
      <c r="C111" s="8">
        <f>-3.5-115</f>
        <v>-118.5</v>
      </c>
      <c r="D111" s="17"/>
      <c r="E111" s="15"/>
      <c r="F111" s="15"/>
    </row>
    <row r="112" spans="1:6" x14ac:dyDescent="0.25">
      <c r="A112" s="9">
        <v>264</v>
      </c>
      <c r="B112" s="26">
        <v>27</v>
      </c>
      <c r="C112" s="12" t="s">
        <v>417</v>
      </c>
      <c r="D112" s="21">
        <f>5.5-120</f>
        <v>-114.5</v>
      </c>
      <c r="E112" s="20" t="s">
        <v>696</v>
      </c>
      <c r="F112" s="20">
        <v>195</v>
      </c>
    </row>
    <row r="113" spans="1:6" x14ac:dyDescent="0.25">
      <c r="A113" s="10" t="s">
        <v>695</v>
      </c>
      <c r="B113" s="26"/>
      <c r="C113" s="12"/>
      <c r="D113" s="21"/>
      <c r="E113" s="20"/>
      <c r="F113" s="20"/>
    </row>
    <row r="114" spans="1:6" x14ac:dyDescent="0.25">
      <c r="A114" s="11"/>
      <c r="B114" s="26"/>
      <c r="C114" s="12" t="s">
        <v>417</v>
      </c>
      <c r="D114" s="21"/>
      <c r="E114" s="20"/>
      <c r="F114" s="20"/>
    </row>
    <row r="115" spans="1:6" x14ac:dyDescent="0.25">
      <c r="A115" s="11"/>
      <c r="B115" s="26"/>
      <c r="C115" s="12"/>
      <c r="D115" s="21"/>
      <c r="E115" s="20"/>
      <c r="F115" s="20"/>
    </row>
    <row r="116" spans="1:6" x14ac:dyDescent="0.25">
      <c r="A116" s="11"/>
      <c r="B116" s="26"/>
      <c r="C116" s="12" t="s">
        <v>417</v>
      </c>
      <c r="D116" s="21"/>
      <c r="E116" s="20"/>
      <c r="F116" s="20"/>
    </row>
    <row r="117" spans="1:6" ht="37.5" x14ac:dyDescent="0.25">
      <c r="A117" s="22" t="s">
        <v>17</v>
      </c>
    </row>
    <row r="118" spans="1:6" ht="15.75" thickBot="1" x14ac:dyDescent="0.3">
      <c r="A118" s="3" t="s">
        <v>697</v>
      </c>
      <c r="B118" s="4"/>
      <c r="C118" s="4" t="s">
        <v>8</v>
      </c>
      <c r="D118" s="4" t="s">
        <v>9</v>
      </c>
      <c r="E118" s="4" t="s">
        <v>10</v>
      </c>
      <c r="F118" s="4" t="s">
        <v>11</v>
      </c>
    </row>
    <row r="119" spans="1:6" x14ac:dyDescent="0.25">
      <c r="A119" s="5">
        <v>267</v>
      </c>
      <c r="B119" s="14">
        <v>10</v>
      </c>
      <c r="C119" s="8" t="s">
        <v>96</v>
      </c>
      <c r="D119" s="18">
        <f>3.5-112</f>
        <v>-108.5</v>
      </c>
      <c r="E119" s="18" t="s">
        <v>94</v>
      </c>
      <c r="F119" s="18">
        <v>154</v>
      </c>
    </row>
    <row r="120" spans="1:6" x14ac:dyDescent="0.25">
      <c r="A120" s="6" t="s">
        <v>698</v>
      </c>
      <c r="B120" s="13"/>
      <c r="C120" s="8"/>
      <c r="D120" s="17"/>
      <c r="E120" s="17"/>
      <c r="F120" s="17"/>
    </row>
    <row r="121" spans="1:6" x14ac:dyDescent="0.25">
      <c r="A121" s="7"/>
      <c r="B121" s="13"/>
      <c r="C121" s="8" t="s">
        <v>293</v>
      </c>
      <c r="D121" s="17"/>
      <c r="E121" s="17"/>
      <c r="F121" s="17"/>
    </row>
    <row r="122" spans="1:6" x14ac:dyDescent="0.25">
      <c r="A122" s="7"/>
      <c r="B122" s="13"/>
      <c r="C122" s="8"/>
      <c r="D122" s="17"/>
      <c r="E122" s="17"/>
      <c r="F122" s="17"/>
    </row>
    <row r="123" spans="1:6" x14ac:dyDescent="0.25">
      <c r="A123" s="7"/>
      <c r="B123" s="13"/>
      <c r="C123" s="8" t="s">
        <v>265</v>
      </c>
      <c r="D123" s="17"/>
      <c r="E123" s="17"/>
      <c r="F123" s="17"/>
    </row>
    <row r="124" spans="1:6" x14ac:dyDescent="0.25">
      <c r="A124" s="9">
        <v>268</v>
      </c>
      <c r="B124" s="19">
        <v>20</v>
      </c>
      <c r="C124" s="12">
        <f>-3.5-108</f>
        <v>-111.5</v>
      </c>
      <c r="D124" s="21">
        <f>-3.5-108</f>
        <v>-111.5</v>
      </c>
      <c r="E124" s="21" t="s">
        <v>96</v>
      </c>
      <c r="F124" s="21">
        <v>-185</v>
      </c>
    </row>
    <row r="125" spans="1:6" x14ac:dyDescent="0.25">
      <c r="A125" s="10" t="s">
        <v>699</v>
      </c>
      <c r="B125" s="19"/>
      <c r="C125" s="12"/>
      <c r="D125" s="21"/>
      <c r="E125" s="21"/>
      <c r="F125" s="21"/>
    </row>
    <row r="126" spans="1:6" x14ac:dyDescent="0.25">
      <c r="A126" s="11"/>
      <c r="B126" s="19"/>
      <c r="C126" s="12">
        <f>-3.5-108</f>
        <v>-111.5</v>
      </c>
      <c r="D126" s="21"/>
      <c r="E126" s="21"/>
      <c r="F126" s="21"/>
    </row>
    <row r="127" spans="1:6" x14ac:dyDescent="0.25">
      <c r="A127" s="11"/>
      <c r="B127" s="19"/>
      <c r="C127" s="12"/>
      <c r="D127" s="21"/>
      <c r="E127" s="21"/>
      <c r="F127" s="21"/>
    </row>
    <row r="128" spans="1:6" x14ac:dyDescent="0.25">
      <c r="A128" s="11"/>
      <c r="B128" s="19"/>
      <c r="C128" s="12">
        <f>-3.5-108</f>
        <v>-111.5</v>
      </c>
      <c r="D128" s="21"/>
      <c r="E128" s="21"/>
      <c r="F128" s="21"/>
    </row>
    <row r="129" spans="1:6" ht="37.5" x14ac:dyDescent="0.25">
      <c r="A129" s="22" t="s">
        <v>17</v>
      </c>
    </row>
    <row r="130" spans="1:6" ht="15.75" thickBot="1" x14ac:dyDescent="0.3">
      <c r="A130" s="3" t="s">
        <v>700</v>
      </c>
      <c r="B130" s="4"/>
      <c r="C130" s="4" t="s">
        <v>8</v>
      </c>
      <c r="D130" s="4" t="s">
        <v>9</v>
      </c>
      <c r="E130" s="4" t="s">
        <v>10</v>
      </c>
      <c r="F130" s="4" t="s">
        <v>11</v>
      </c>
    </row>
    <row r="131" spans="1:6" x14ac:dyDescent="0.25">
      <c r="A131" s="5">
        <v>265</v>
      </c>
      <c r="B131" s="14">
        <v>19</v>
      </c>
      <c r="C131" s="8" t="s">
        <v>702</v>
      </c>
      <c r="D131" s="18">
        <f>3.5-105</f>
        <v>-101.5</v>
      </c>
      <c r="E131" s="16" t="s">
        <v>32</v>
      </c>
      <c r="F131" s="18">
        <v>160</v>
      </c>
    </row>
    <row r="132" spans="1:6" x14ac:dyDescent="0.25">
      <c r="A132" s="6" t="s">
        <v>701</v>
      </c>
      <c r="B132" s="13"/>
      <c r="C132" s="8"/>
      <c r="D132" s="17"/>
      <c r="E132" s="15"/>
      <c r="F132" s="17"/>
    </row>
    <row r="133" spans="1:6" x14ac:dyDescent="0.25">
      <c r="A133" s="7"/>
      <c r="B133" s="13"/>
      <c r="C133" s="8" t="s">
        <v>30</v>
      </c>
      <c r="D133" s="17"/>
      <c r="E133" s="15"/>
      <c r="F133" s="17"/>
    </row>
    <row r="134" spans="1:6" x14ac:dyDescent="0.25">
      <c r="A134" s="7"/>
      <c r="B134" s="13"/>
      <c r="C134" s="8"/>
      <c r="D134" s="17"/>
      <c r="E134" s="15"/>
      <c r="F134" s="17"/>
    </row>
    <row r="135" spans="1:6" x14ac:dyDescent="0.25">
      <c r="A135" s="7"/>
      <c r="B135" s="13"/>
      <c r="C135" s="8" t="s">
        <v>30</v>
      </c>
      <c r="D135" s="17"/>
      <c r="E135" s="15"/>
      <c r="F135" s="17"/>
    </row>
    <row r="136" spans="1:6" x14ac:dyDescent="0.25">
      <c r="A136" s="9">
        <v>266</v>
      </c>
      <c r="B136" s="19">
        <v>30</v>
      </c>
      <c r="C136" s="12">
        <f>-3.5-115</f>
        <v>-118.5</v>
      </c>
      <c r="D136" s="21">
        <f>-3.5-115</f>
        <v>-118.5</v>
      </c>
      <c r="E136" s="20" t="s">
        <v>29</v>
      </c>
      <c r="F136" s="21">
        <v>-185</v>
      </c>
    </row>
    <row r="137" spans="1:6" x14ac:dyDescent="0.25">
      <c r="A137" s="10" t="s">
        <v>703</v>
      </c>
      <c r="B137" s="19"/>
      <c r="C137" s="12"/>
      <c r="D137" s="21"/>
      <c r="E137" s="20"/>
      <c r="F137" s="21"/>
    </row>
    <row r="138" spans="1:6" x14ac:dyDescent="0.25">
      <c r="A138" s="11"/>
      <c r="B138" s="19"/>
      <c r="C138" s="12">
        <f>-3.5-115</f>
        <v>-118.5</v>
      </c>
      <c r="D138" s="21"/>
      <c r="E138" s="20"/>
      <c r="F138" s="21"/>
    </row>
    <row r="139" spans="1:6" x14ac:dyDescent="0.25">
      <c r="A139" s="11"/>
      <c r="B139" s="19"/>
      <c r="C139" s="12"/>
      <c r="D139" s="21"/>
      <c r="E139" s="20"/>
      <c r="F139" s="21"/>
    </row>
    <row r="140" spans="1:6" x14ac:dyDescent="0.25">
      <c r="A140" s="11"/>
      <c r="B140" s="19"/>
      <c r="C140" s="12">
        <f>-3.5-108</f>
        <v>-111.5</v>
      </c>
      <c r="D140" s="21"/>
      <c r="E140" s="20"/>
      <c r="F140" s="21"/>
    </row>
    <row r="141" spans="1:6" ht="37.5" x14ac:dyDescent="0.25">
      <c r="A141" s="22" t="s">
        <v>17</v>
      </c>
    </row>
    <row r="142" spans="1:6" ht="15.75" thickBot="1" x14ac:dyDescent="0.3">
      <c r="A142" s="3" t="s">
        <v>700</v>
      </c>
      <c r="B142" s="4"/>
      <c r="C142" s="4" t="s">
        <v>8</v>
      </c>
      <c r="D142" s="4" t="s">
        <v>9</v>
      </c>
      <c r="E142" s="4" t="s">
        <v>10</v>
      </c>
      <c r="F142" s="4" t="s">
        <v>11</v>
      </c>
    </row>
    <row r="143" spans="1:6" x14ac:dyDescent="0.25">
      <c r="A143" s="5">
        <v>271</v>
      </c>
      <c r="B143" s="14">
        <v>18</v>
      </c>
      <c r="C143" s="8" t="s">
        <v>192</v>
      </c>
      <c r="D143" s="16">
        <f>14-112</f>
        <v>-98</v>
      </c>
      <c r="E143" s="16" t="s">
        <v>167</v>
      </c>
      <c r="F143" s="18">
        <v>650</v>
      </c>
    </row>
    <row r="144" spans="1:6" x14ac:dyDescent="0.25">
      <c r="A144" s="6" t="s">
        <v>704</v>
      </c>
      <c r="B144" s="13"/>
      <c r="C144" s="8"/>
      <c r="D144" s="15"/>
      <c r="E144" s="15"/>
      <c r="F144" s="17"/>
    </row>
    <row r="145" spans="1:6" x14ac:dyDescent="0.25">
      <c r="A145" s="7"/>
      <c r="B145" s="13"/>
      <c r="C145" s="8" t="s">
        <v>192</v>
      </c>
      <c r="D145" s="15"/>
      <c r="E145" s="15"/>
      <c r="F145" s="17"/>
    </row>
    <row r="146" spans="1:6" x14ac:dyDescent="0.25">
      <c r="A146" s="7"/>
      <c r="B146" s="13"/>
      <c r="C146" s="8"/>
      <c r="D146" s="15"/>
      <c r="E146" s="15"/>
      <c r="F146" s="17"/>
    </row>
    <row r="147" spans="1:6" x14ac:dyDescent="0.25">
      <c r="A147" s="7"/>
      <c r="B147" s="13"/>
      <c r="C147" s="8" t="s">
        <v>192</v>
      </c>
      <c r="D147" s="15"/>
      <c r="E147" s="15"/>
      <c r="F147" s="17"/>
    </row>
    <row r="148" spans="1:6" x14ac:dyDescent="0.25">
      <c r="A148" s="9">
        <v>272</v>
      </c>
      <c r="B148" s="19">
        <v>27</v>
      </c>
      <c r="C148" s="12">
        <f>-14-115</f>
        <v>-129</v>
      </c>
      <c r="D148" s="20">
        <f>-14-108</f>
        <v>-122</v>
      </c>
      <c r="E148" s="20" t="s">
        <v>328</v>
      </c>
      <c r="F148" s="21">
        <v>-1050</v>
      </c>
    </row>
    <row r="149" spans="1:6" x14ac:dyDescent="0.25">
      <c r="A149" s="10" t="s">
        <v>705</v>
      </c>
      <c r="B149" s="19"/>
      <c r="C149" s="12"/>
      <c r="D149" s="20"/>
      <c r="E149" s="20"/>
      <c r="F149" s="21"/>
    </row>
    <row r="150" spans="1:6" x14ac:dyDescent="0.25">
      <c r="A150" s="11"/>
      <c r="B150" s="19"/>
      <c r="C150" s="12">
        <f>-14-110</f>
        <v>-124</v>
      </c>
      <c r="D150" s="20"/>
      <c r="E150" s="20"/>
      <c r="F150" s="21"/>
    </row>
    <row r="151" spans="1:6" x14ac:dyDescent="0.25">
      <c r="A151" s="11"/>
      <c r="B151" s="19"/>
      <c r="C151" s="12"/>
      <c r="D151" s="20"/>
      <c r="E151" s="20"/>
      <c r="F151" s="21"/>
    </row>
    <row r="152" spans="1:6" x14ac:dyDescent="0.25">
      <c r="A152" s="11"/>
      <c r="B152" s="19"/>
      <c r="C152" s="12">
        <f>-14.5-105</f>
        <v>-119.5</v>
      </c>
      <c r="D152" s="20"/>
      <c r="E152" s="20"/>
      <c r="F152" s="21"/>
    </row>
    <row r="153" spans="1:6" ht="37.5" x14ac:dyDescent="0.25">
      <c r="A153" s="22" t="s">
        <v>17</v>
      </c>
    </row>
    <row r="154" spans="1:6" ht="15.75" thickBot="1" x14ac:dyDescent="0.3">
      <c r="A154" s="3" t="s">
        <v>706</v>
      </c>
      <c r="B154" s="4"/>
      <c r="C154" s="4" t="s">
        <v>8</v>
      </c>
      <c r="D154" s="4" t="s">
        <v>9</v>
      </c>
      <c r="E154" s="4" t="s">
        <v>10</v>
      </c>
      <c r="F154" s="4" t="s">
        <v>11</v>
      </c>
    </row>
    <row r="155" spans="1:6" x14ac:dyDescent="0.25">
      <c r="A155" s="5">
        <v>273</v>
      </c>
      <c r="B155" s="14">
        <v>17</v>
      </c>
      <c r="C155" s="8" t="s">
        <v>382</v>
      </c>
      <c r="D155" s="18">
        <f>2.5-105</f>
        <v>-102.5</v>
      </c>
      <c r="E155" s="18" t="s">
        <v>382</v>
      </c>
      <c r="F155" s="18">
        <v>120</v>
      </c>
    </row>
    <row r="156" spans="1:6" x14ac:dyDescent="0.25">
      <c r="A156" s="6" t="s">
        <v>707</v>
      </c>
      <c r="B156" s="13"/>
      <c r="C156" s="8"/>
      <c r="D156" s="17"/>
      <c r="E156" s="17"/>
      <c r="F156" s="17"/>
    </row>
    <row r="157" spans="1:6" x14ac:dyDescent="0.25">
      <c r="A157" s="7"/>
      <c r="B157" s="13"/>
      <c r="C157" s="8" t="s">
        <v>382</v>
      </c>
      <c r="D157" s="17"/>
      <c r="E157" s="17"/>
      <c r="F157" s="17"/>
    </row>
    <row r="158" spans="1:6" x14ac:dyDescent="0.25">
      <c r="A158" s="7"/>
      <c r="B158" s="13"/>
      <c r="C158" s="8"/>
      <c r="D158" s="17"/>
      <c r="E158" s="17"/>
      <c r="F158" s="17"/>
    </row>
    <row r="159" spans="1:6" x14ac:dyDescent="0.25">
      <c r="A159" s="7"/>
      <c r="B159" s="13"/>
      <c r="C159" s="8" t="s">
        <v>382</v>
      </c>
      <c r="D159" s="17"/>
      <c r="E159" s="17"/>
      <c r="F159" s="17"/>
    </row>
    <row r="160" spans="1:6" x14ac:dyDescent="0.25">
      <c r="A160" s="9">
        <v>274</v>
      </c>
      <c r="B160" s="19">
        <v>30</v>
      </c>
      <c r="C160" s="12">
        <f>-2.5-115</f>
        <v>-117.5</v>
      </c>
      <c r="D160" s="21">
        <f>-2.5-115</f>
        <v>-117.5</v>
      </c>
      <c r="E160" s="21" t="s">
        <v>546</v>
      </c>
      <c r="F160" s="21">
        <v>-142</v>
      </c>
    </row>
    <row r="161" spans="1:6" x14ac:dyDescent="0.25">
      <c r="A161" s="10" t="s">
        <v>708</v>
      </c>
      <c r="B161" s="19"/>
      <c r="C161" s="12"/>
      <c r="D161" s="21"/>
      <c r="E161" s="21"/>
      <c r="F161" s="21"/>
    </row>
    <row r="162" spans="1:6" x14ac:dyDescent="0.25">
      <c r="A162" s="11"/>
      <c r="B162" s="19"/>
      <c r="C162" s="12">
        <f>-2.5-115</f>
        <v>-117.5</v>
      </c>
      <c r="D162" s="21"/>
      <c r="E162" s="21"/>
      <c r="F162" s="21"/>
    </row>
    <row r="163" spans="1:6" x14ac:dyDescent="0.25">
      <c r="A163" s="11"/>
      <c r="B163" s="19"/>
      <c r="C163" s="12"/>
      <c r="D163" s="21"/>
      <c r="E163" s="21"/>
      <c r="F163" s="21"/>
    </row>
    <row r="164" spans="1:6" x14ac:dyDescent="0.25">
      <c r="A164" s="11"/>
      <c r="B164" s="19"/>
      <c r="C164" s="12">
        <f>-2.5-115</f>
        <v>-117.5</v>
      </c>
      <c r="D164" s="21"/>
      <c r="E164" s="21"/>
      <c r="F164" s="21"/>
    </row>
    <row r="165" spans="1:6" ht="38.25" thickBot="1" x14ac:dyDescent="0.3">
      <c r="A165" s="22" t="s">
        <v>17</v>
      </c>
    </row>
    <row r="166" spans="1:6" ht="45" x14ac:dyDescent="0.25">
      <c r="A166" s="27" t="s">
        <v>709</v>
      </c>
    </row>
    <row r="167" spans="1:6" ht="15.75" thickBot="1" x14ac:dyDescent="0.3">
      <c r="A167" s="3" t="s">
        <v>710</v>
      </c>
      <c r="B167" s="4"/>
      <c r="C167" s="4" t="s">
        <v>8</v>
      </c>
      <c r="D167" s="4" t="s">
        <v>9</v>
      </c>
      <c r="E167" s="4" t="s">
        <v>10</v>
      </c>
      <c r="F167" s="4" t="s">
        <v>11</v>
      </c>
    </row>
    <row r="168" spans="1:6" x14ac:dyDescent="0.25">
      <c r="A168" s="5">
        <v>275</v>
      </c>
      <c r="B168" s="14">
        <v>14</v>
      </c>
      <c r="C168" s="8">
        <f>-3.5-118</f>
        <v>-121.5</v>
      </c>
      <c r="D168" s="18">
        <f>-3.5-115</f>
        <v>-118.5</v>
      </c>
      <c r="E168" s="18" t="s">
        <v>712</v>
      </c>
      <c r="F168" s="18">
        <v>-205</v>
      </c>
    </row>
    <row r="169" spans="1:6" x14ac:dyDescent="0.25">
      <c r="A169" s="6" t="s">
        <v>711</v>
      </c>
      <c r="B169" s="13"/>
      <c r="C169" s="8"/>
      <c r="D169" s="17"/>
      <c r="E169" s="17"/>
      <c r="F169" s="17"/>
    </row>
    <row r="170" spans="1:6" x14ac:dyDescent="0.25">
      <c r="A170" s="7"/>
      <c r="B170" s="13"/>
      <c r="C170" s="8">
        <f>-3.5-115</f>
        <v>-118.5</v>
      </c>
      <c r="D170" s="17"/>
      <c r="E170" s="17"/>
      <c r="F170" s="17"/>
    </row>
    <row r="171" spans="1:6" x14ac:dyDescent="0.25">
      <c r="A171" s="7"/>
      <c r="B171" s="13"/>
      <c r="C171" s="8"/>
      <c r="D171" s="17"/>
      <c r="E171" s="17"/>
      <c r="F171" s="17"/>
    </row>
    <row r="172" spans="1:6" x14ac:dyDescent="0.25">
      <c r="A172" s="7"/>
      <c r="B172" s="13"/>
      <c r="C172" s="8">
        <f>-4.5-102</f>
        <v>-106.5</v>
      </c>
      <c r="D172" s="17"/>
      <c r="E172" s="17"/>
      <c r="F172" s="17"/>
    </row>
    <row r="173" spans="1:6" x14ac:dyDescent="0.25">
      <c r="A173" s="9">
        <v>276</v>
      </c>
      <c r="B173" s="19">
        <v>24</v>
      </c>
      <c r="C173" s="12" t="s">
        <v>48</v>
      </c>
      <c r="D173" s="21">
        <f>3.5-105</f>
        <v>-101.5</v>
      </c>
      <c r="E173" s="21" t="s">
        <v>48</v>
      </c>
      <c r="F173" s="21">
        <v>170</v>
      </c>
    </row>
    <row r="174" spans="1:6" x14ac:dyDescent="0.25">
      <c r="A174" s="10" t="s">
        <v>713</v>
      </c>
      <c r="B174" s="19"/>
      <c r="C174" s="12"/>
      <c r="D174" s="21"/>
      <c r="E174" s="21"/>
      <c r="F174" s="21"/>
    </row>
    <row r="175" spans="1:6" x14ac:dyDescent="0.25">
      <c r="A175" s="11"/>
      <c r="B175" s="19"/>
      <c r="C175" s="12" t="s">
        <v>48</v>
      </c>
      <c r="D175" s="21"/>
      <c r="E175" s="21"/>
      <c r="F175" s="21"/>
    </row>
    <row r="176" spans="1:6" x14ac:dyDescent="0.25">
      <c r="A176" s="11"/>
      <c r="B176" s="19"/>
      <c r="C176" s="12"/>
      <c r="D176" s="21"/>
      <c r="E176" s="21"/>
      <c r="F176" s="21"/>
    </row>
    <row r="177" spans="1:6" x14ac:dyDescent="0.25">
      <c r="A177" s="11"/>
      <c r="B177" s="19"/>
      <c r="C177" s="12" t="s">
        <v>48</v>
      </c>
      <c r="D177" s="21"/>
      <c r="E177" s="21"/>
      <c r="F177" s="21"/>
    </row>
    <row r="178" spans="1:6" ht="38.25" thickBot="1" x14ac:dyDescent="0.3">
      <c r="A178" s="22" t="s">
        <v>17</v>
      </c>
    </row>
    <row r="179" spans="1:6" ht="45" x14ac:dyDescent="0.25">
      <c r="A179" s="27" t="s">
        <v>714</v>
      </c>
    </row>
    <row r="180" spans="1:6" ht="15.75" thickBot="1" x14ac:dyDescent="0.3">
      <c r="A180" s="3" t="s">
        <v>715</v>
      </c>
      <c r="B180" s="4"/>
      <c r="C180" s="4" t="s">
        <v>8</v>
      </c>
      <c r="D180" s="4" t="s">
        <v>9</v>
      </c>
      <c r="E180" s="4" t="s">
        <v>10</v>
      </c>
      <c r="F180" s="4" t="s">
        <v>11</v>
      </c>
    </row>
    <row r="181" spans="1:6" x14ac:dyDescent="0.25">
      <c r="A181" s="5">
        <v>277</v>
      </c>
      <c r="B181" s="25">
        <v>25</v>
      </c>
      <c r="C181" s="8" t="s">
        <v>177</v>
      </c>
      <c r="D181" s="16">
        <f>5.5-110</f>
        <v>-104.5</v>
      </c>
      <c r="E181" s="16" t="s">
        <v>177</v>
      </c>
      <c r="F181" s="16">
        <v>210</v>
      </c>
    </row>
    <row r="182" spans="1:6" x14ac:dyDescent="0.25">
      <c r="A182" s="6" t="s">
        <v>716</v>
      </c>
      <c r="B182" s="24"/>
      <c r="C182" s="8"/>
      <c r="D182" s="15"/>
      <c r="E182" s="15"/>
      <c r="F182" s="15"/>
    </row>
    <row r="183" spans="1:6" x14ac:dyDescent="0.25">
      <c r="A183" s="7"/>
      <c r="B183" s="24"/>
      <c r="C183" s="8" t="s">
        <v>477</v>
      </c>
      <c r="D183" s="15"/>
      <c r="E183" s="15"/>
      <c r="F183" s="15"/>
    </row>
    <row r="184" spans="1:6" x14ac:dyDescent="0.25">
      <c r="A184" s="7"/>
      <c r="B184" s="24"/>
      <c r="C184" s="8"/>
      <c r="D184" s="15"/>
      <c r="E184" s="15"/>
      <c r="F184" s="15"/>
    </row>
    <row r="185" spans="1:6" x14ac:dyDescent="0.25">
      <c r="A185" s="7"/>
      <c r="B185" s="24"/>
      <c r="C185" s="8" t="s">
        <v>177</v>
      </c>
      <c r="D185" s="15"/>
      <c r="E185" s="15"/>
      <c r="F185" s="15"/>
    </row>
    <row r="186" spans="1:6" x14ac:dyDescent="0.25">
      <c r="A186" s="9">
        <v>278</v>
      </c>
      <c r="B186" s="26">
        <v>24</v>
      </c>
      <c r="C186" s="12">
        <f>-5.5-110</f>
        <v>-115.5</v>
      </c>
      <c r="D186" s="20">
        <f>-5.5-110</f>
        <v>-115.5</v>
      </c>
      <c r="E186" s="20" t="s">
        <v>179</v>
      </c>
      <c r="F186" s="20">
        <v>-265</v>
      </c>
    </row>
    <row r="187" spans="1:6" x14ac:dyDescent="0.25">
      <c r="A187" s="10" t="s">
        <v>717</v>
      </c>
      <c r="B187" s="26"/>
      <c r="C187" s="12"/>
      <c r="D187" s="20"/>
      <c r="E187" s="20"/>
      <c r="F187" s="20"/>
    </row>
    <row r="188" spans="1:6" x14ac:dyDescent="0.25">
      <c r="A188" s="11"/>
      <c r="B188" s="26"/>
      <c r="C188" s="12">
        <f>-5.5-110</f>
        <v>-115.5</v>
      </c>
      <c r="D188" s="20"/>
      <c r="E188" s="20"/>
      <c r="F188" s="20"/>
    </row>
    <row r="189" spans="1:6" x14ac:dyDescent="0.25">
      <c r="A189" s="11"/>
      <c r="B189" s="26"/>
      <c r="C189" s="12"/>
      <c r="D189" s="20"/>
      <c r="E189" s="20"/>
      <c r="F189" s="20"/>
    </row>
    <row r="190" spans="1:6" x14ac:dyDescent="0.25">
      <c r="A190" s="11"/>
      <c r="B190" s="26"/>
      <c r="C190" s="12">
        <f>-5.5-110</f>
        <v>-115.5</v>
      </c>
      <c r="D190" s="20"/>
      <c r="E190" s="20"/>
      <c r="F190" s="20"/>
    </row>
  </sheetData>
  <mergeCells count="120">
    <mergeCell ref="B181:B185"/>
    <mergeCell ref="D181:D185"/>
    <mergeCell ref="E181:E185"/>
    <mergeCell ref="F181:F185"/>
    <mergeCell ref="B186:B190"/>
    <mergeCell ref="D186:D190"/>
    <mergeCell ref="E186:E190"/>
    <mergeCell ref="F186:F190"/>
    <mergeCell ref="B168:B172"/>
    <mergeCell ref="D168:D172"/>
    <mergeCell ref="E168:E172"/>
    <mergeCell ref="F168:F172"/>
    <mergeCell ref="B173:B177"/>
    <mergeCell ref="D173:D177"/>
    <mergeCell ref="E173:E177"/>
    <mergeCell ref="F173:F177"/>
    <mergeCell ref="B155:B159"/>
    <mergeCell ref="D155:D159"/>
    <mergeCell ref="E155:E159"/>
    <mergeCell ref="F155:F159"/>
    <mergeCell ref="B160:B164"/>
    <mergeCell ref="D160:D164"/>
    <mergeCell ref="E160:E164"/>
    <mergeCell ref="F160:F164"/>
    <mergeCell ref="B143:B147"/>
    <mergeCell ref="D143:D147"/>
    <mergeCell ref="E143:E147"/>
    <mergeCell ref="F143:F147"/>
    <mergeCell ref="B148:B152"/>
    <mergeCell ref="D148:D152"/>
    <mergeCell ref="E148:E152"/>
    <mergeCell ref="F148:F152"/>
    <mergeCell ref="B131:B135"/>
    <mergeCell ref="D131:D135"/>
    <mergeCell ref="E131:E135"/>
    <mergeCell ref="F131:F135"/>
    <mergeCell ref="B136:B140"/>
    <mergeCell ref="D136:D140"/>
    <mergeCell ref="E136:E140"/>
    <mergeCell ref="F136:F140"/>
    <mergeCell ref="B119:B123"/>
    <mergeCell ref="D119:D123"/>
    <mergeCell ref="E119:E123"/>
    <mergeCell ref="F119:F123"/>
    <mergeCell ref="B124:B128"/>
    <mergeCell ref="D124:D128"/>
    <mergeCell ref="E124:E128"/>
    <mergeCell ref="F124:F128"/>
    <mergeCell ref="B107:B111"/>
    <mergeCell ref="D107:D111"/>
    <mergeCell ref="E107:E111"/>
    <mergeCell ref="F107:F111"/>
    <mergeCell ref="B112:B116"/>
    <mergeCell ref="D112:D116"/>
    <mergeCell ref="E112:E116"/>
    <mergeCell ref="F112:F116"/>
    <mergeCell ref="B95:B99"/>
    <mergeCell ref="D95:D99"/>
    <mergeCell ref="E95:E99"/>
    <mergeCell ref="F95:F99"/>
    <mergeCell ref="B100:B104"/>
    <mergeCell ref="D100:D104"/>
    <mergeCell ref="E100:E104"/>
    <mergeCell ref="F100:F104"/>
    <mergeCell ref="B83:B87"/>
    <mergeCell ref="D83:D87"/>
    <mergeCell ref="E83:E87"/>
    <mergeCell ref="F83:F87"/>
    <mergeCell ref="B88:B92"/>
    <mergeCell ref="D88:D92"/>
    <mergeCell ref="E88:E92"/>
    <mergeCell ref="F88:F92"/>
    <mergeCell ref="B71:B75"/>
    <mergeCell ref="D71:D75"/>
    <mergeCell ref="E71:E75"/>
    <mergeCell ref="F71:F75"/>
    <mergeCell ref="B76:B80"/>
    <mergeCell ref="D76:D80"/>
    <mergeCell ref="E76:E80"/>
    <mergeCell ref="F76:F80"/>
    <mergeCell ref="B59:B63"/>
    <mergeCell ref="D59:D63"/>
    <mergeCell ref="E59:E63"/>
    <mergeCell ref="F59:F63"/>
    <mergeCell ref="B64:B68"/>
    <mergeCell ref="D64:D68"/>
    <mergeCell ref="E64:E68"/>
    <mergeCell ref="F64:F68"/>
    <mergeCell ref="B47:B51"/>
    <mergeCell ref="D47:D51"/>
    <mergeCell ref="E47:E51"/>
    <mergeCell ref="F47:F51"/>
    <mergeCell ref="B52:B56"/>
    <mergeCell ref="D52:D56"/>
    <mergeCell ref="E52:E56"/>
    <mergeCell ref="F52:F56"/>
    <mergeCell ref="B35:B39"/>
    <mergeCell ref="D35:D39"/>
    <mergeCell ref="E35:E39"/>
    <mergeCell ref="F35:F39"/>
    <mergeCell ref="B40:B44"/>
    <mergeCell ref="D40:D44"/>
    <mergeCell ref="E40:E44"/>
    <mergeCell ref="F40:F44"/>
    <mergeCell ref="B23:B27"/>
    <mergeCell ref="D23:D27"/>
    <mergeCell ref="E23:E27"/>
    <mergeCell ref="F23:F27"/>
    <mergeCell ref="B28:B32"/>
    <mergeCell ref="D28:D32"/>
    <mergeCell ref="E28:E32"/>
    <mergeCell ref="F28:F32"/>
    <mergeCell ref="B9:B13"/>
    <mergeCell ref="D9:D13"/>
    <mergeCell ref="E9:E13"/>
    <mergeCell ref="F9:F13"/>
    <mergeCell ref="B14:B18"/>
    <mergeCell ref="D14:D18"/>
    <mergeCell ref="E14:E18"/>
    <mergeCell ref="F14:F18"/>
  </mergeCells>
  <hyperlinks>
    <hyperlink ref="A2" r:id="rId1" display="https://www.scoresandodds.com/nfl/odds" xr:uid="{D6AFA8E3-4626-4A4D-8F47-5FDA289193FF}"/>
    <hyperlink ref="A3" r:id="rId2" display="https://www.scoresandodds.com/nfl/consensus-picks" xr:uid="{7F7536E4-61F7-496D-A654-D52AC77493E4}"/>
    <hyperlink ref="A4" r:id="rId3" display="https://www.scoresandodds.com/nfl/more-lines" xr:uid="{44C9BC5A-627D-4F5A-879A-829CA92087D2}"/>
    <hyperlink ref="A5" r:id="rId4" display="https://www.scoresandodds.com/nfl/props" xr:uid="{0EE751D0-49FF-4D06-B6A8-5D81CE3626A3}"/>
    <hyperlink ref="A6" r:id="rId5" display="https://www.scoresandodds.com/nfl/parlays" xr:uid="{1B8CF72F-9892-4422-A4D6-44C8D85D81D6}"/>
    <hyperlink ref="A7" r:id="rId6" display="https://www.scoresandodds.com/nfl/picks" xr:uid="{26A13EF3-E6D5-4BDA-A1CB-9C7C9A27BF03}"/>
    <hyperlink ref="A10" r:id="rId7" display="https://www.scoresandodds.com/nfl/teams/eagles" xr:uid="{9B27BF33-DC03-496D-80CB-43762DF16B15}"/>
    <hyperlink ref="A15" r:id="rId8" display="https://www.scoresandodds.com/nfl/teams/giants" xr:uid="{93093E81-377B-4AAD-8138-BCC097D029A9}"/>
    <hyperlink ref="A24" r:id="rId9" display="https://www.scoresandodds.com/nfl/teams/broncos" xr:uid="{F4CC7BD8-1EAA-4F05-9C0E-35B9F5BB1182}"/>
    <hyperlink ref="A29" r:id="rId10" display="https://www.scoresandodds.com/nfl/teams/jets" xr:uid="{F1B772FD-B188-462F-999E-96DF6999A642}"/>
    <hyperlink ref="A36" r:id="rId11" display="https://www.scoresandodds.com/nfl/teams/seahawks" xr:uid="{94B9B3C9-AD3D-4174-B893-4736EB0394EF}"/>
    <hyperlink ref="A41" r:id="rId12" display="https://www.scoresandodds.com/nfl/teams/jaguars" xr:uid="{6D5E1C86-469D-422E-B560-322AE8FD27FC}"/>
    <hyperlink ref="A48" r:id="rId13" display="https://www.scoresandodds.com/nfl/teams/cardinals" xr:uid="{25869F3D-60DC-45BE-BD1C-F86272C0D361}"/>
    <hyperlink ref="A53" r:id="rId14" display="https://www.scoresandodds.com/nfl/teams/colts" xr:uid="{27BD0EF3-AF38-4133-A42F-431B0BFF1DC6}"/>
    <hyperlink ref="A60" r:id="rId15" display="https://www.scoresandodds.com/nfl/teams/browns" xr:uid="{68B7C114-7735-4BD5-99EE-2FF64F30F638}"/>
    <hyperlink ref="A65" r:id="rId16" display="https://www.scoresandodds.com/nfl/teams/steelers" xr:uid="{BBC4BB8E-AF6A-4C9F-B455-110B8B5A59B4}"/>
    <hyperlink ref="A72" r:id="rId17" display="https://www.scoresandodds.com/nfl/teams/rams" xr:uid="{C7D75A32-CCDC-431A-8121-92A22683CEF9}"/>
    <hyperlink ref="A77" r:id="rId18" display="https://www.scoresandodds.com/nfl/teams/ravens" xr:uid="{AD0443A2-1E58-4544-93E1-F5EFF4A92DB2}"/>
    <hyperlink ref="A84" r:id="rId19" display="https://www.scoresandodds.com/nfl/teams/cowboys" xr:uid="{D9F7E0EC-8040-48AA-8EAE-3BD4E7256B44}"/>
    <hyperlink ref="A89" r:id="rId20" display="https://www.scoresandodds.com/nfl/teams/panthers" xr:uid="{66017153-823E-4E3D-BDD8-44FA0E5ADE78}"/>
    <hyperlink ref="A96" r:id="rId21" display="https://www.scoresandodds.com/nfl/teams/patriots" xr:uid="{ACAE9D85-9D44-470A-8E5F-D4BF896E02AB}"/>
    <hyperlink ref="A101" r:id="rId22" display="https://www.scoresandodds.com/nfl/teams/saints" xr:uid="{4486D9F6-7A49-400B-B74D-367E1A0B2B5B}"/>
    <hyperlink ref="A108" r:id="rId23" display="https://www.scoresandodds.com/nfl/teams/chargers" xr:uid="{C83893DD-441D-47BA-9549-CDB292D47D97}"/>
    <hyperlink ref="A113" r:id="rId24" display="https://www.scoresandodds.com/nfl/teams/dolphins" xr:uid="{D412EFF9-7F7B-45AA-BE1E-0C169482B68E}"/>
    <hyperlink ref="A120" r:id="rId25" display="https://www.scoresandodds.com/nfl/teams/titans" xr:uid="{C6544B45-3745-4398-B8B5-3740FC2D93C3}"/>
    <hyperlink ref="A125" r:id="rId26" display="https://www.scoresandodds.com/nfl/teams/raiders" xr:uid="{01B624DF-CE69-4FC5-902C-1834A7A07103}"/>
    <hyperlink ref="A132" r:id="rId27" display="https://www.scoresandodds.com/nfl/teams/49ers" xr:uid="{29343118-27FD-4D49-B97A-BC36CAC2392A}"/>
    <hyperlink ref="A137" r:id="rId28" display="https://www.scoresandodds.com/nfl/teams/buccaneers" xr:uid="{2F58D444-E91C-4DB8-892C-04D598A02A1C}"/>
    <hyperlink ref="A144" r:id="rId29" display="https://www.scoresandodds.com/nfl/teams/bengals" xr:uid="{1075F0E7-506E-4CFB-904A-9FB59145DDAF}"/>
    <hyperlink ref="A149" r:id="rId30" display="https://www.scoresandodds.com/nfl/teams/packers" xr:uid="{01D22E2F-9782-4201-BB49-768DE57C2B4D}"/>
    <hyperlink ref="A156" r:id="rId31" display="https://www.scoresandodds.com/nfl/teams/lions" xr:uid="{D6D82611-53CC-481C-AEFF-40488B766E7C}"/>
    <hyperlink ref="A161" r:id="rId32" display="https://www.scoresandodds.com/nfl/teams/chiefs" xr:uid="{4913FDDC-86E7-4E02-A905-A69DE7ED9142}"/>
    <hyperlink ref="A169" r:id="rId33" display="https://www.scoresandodds.com/nfl/teams/bills" xr:uid="{49F5B9D7-2C3F-40DD-8DE7-BAE4F8F06BDC}"/>
    <hyperlink ref="A174" r:id="rId34" display="https://www.scoresandodds.com/nfl/teams/falcons" xr:uid="{C0169EFB-C584-41EF-93E8-236E2990BC2E}"/>
    <hyperlink ref="A182" r:id="rId35" display="https://www.scoresandodds.com/nfl/teams/bears" xr:uid="{62D6C50A-B5C4-40FC-91D3-A372F93CB038}"/>
    <hyperlink ref="A187" r:id="rId36" display="https://www.scoresandodds.com/nfl/teams/commanders" xr:uid="{8E021446-4520-4C95-91DE-806DBF2AB7C2}"/>
  </hyperlinks>
  <pageMargins left="0.7" right="0.7" top="0.75" bottom="0.75" header="0.3" footer="0.3"/>
  <drawing r:id="rId3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089A9-A8DA-4DE2-9220-6D7C12F72B40}">
  <dimension ref="A1:F100"/>
  <sheetViews>
    <sheetView workbookViewId="0">
      <selection activeCell="D9" sqref="D9:D10"/>
    </sheetView>
  </sheetViews>
  <sheetFormatPr baseColWidth="10" defaultRowHeight="15" x14ac:dyDescent="0.25"/>
  <cols>
    <col min="1" max="1" width="70.5703125" bestFit="1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3" spans="1:6" x14ac:dyDescent="0.25">
      <c r="A3" s="2" t="s">
        <v>2</v>
      </c>
    </row>
    <row r="4" spans="1:6" x14ac:dyDescent="0.25">
      <c r="A4" s="2" t="s">
        <v>3</v>
      </c>
    </row>
    <row r="5" spans="1:6" x14ac:dyDescent="0.25">
      <c r="A5" s="2" t="s">
        <v>4</v>
      </c>
    </row>
    <row r="6" spans="1:6" x14ac:dyDescent="0.25">
      <c r="A6" s="2" t="s">
        <v>5</v>
      </c>
    </row>
    <row r="7" spans="1:6" x14ac:dyDescent="0.25">
      <c r="A7" s="2" t="s">
        <v>6</v>
      </c>
    </row>
    <row r="8" spans="1:6" ht="15.75" thickBot="1" x14ac:dyDescent="0.3">
      <c r="A8" s="3" t="s">
        <v>621</v>
      </c>
      <c r="B8" s="4"/>
      <c r="C8" s="4" t="s">
        <v>8</v>
      </c>
      <c r="D8" s="4" t="s">
        <v>9</v>
      </c>
      <c r="E8" s="4" t="s">
        <v>10</v>
      </c>
      <c r="F8" s="4" t="s">
        <v>11</v>
      </c>
    </row>
    <row r="9" spans="1:6" x14ac:dyDescent="0.25">
      <c r="A9" s="5">
        <v>311</v>
      </c>
      <c r="B9" s="14">
        <v>31</v>
      </c>
      <c r="C9" s="32"/>
      <c r="D9" s="18">
        <f>-5.5-105</f>
        <v>-110.5</v>
      </c>
      <c r="E9" s="16" t="s">
        <v>623</v>
      </c>
      <c r="F9" s="18">
        <v>-238</v>
      </c>
    </row>
    <row r="10" spans="1:6" x14ac:dyDescent="0.25">
      <c r="A10" s="6" t="s">
        <v>622</v>
      </c>
      <c r="B10" s="13"/>
      <c r="C10" s="31"/>
      <c r="D10" s="17"/>
      <c r="E10" s="15"/>
      <c r="F10" s="17"/>
    </row>
    <row r="11" spans="1:6" x14ac:dyDescent="0.25">
      <c r="A11" s="9">
        <v>312</v>
      </c>
      <c r="B11" s="19">
        <v>33</v>
      </c>
      <c r="C11" s="33"/>
      <c r="D11" s="21">
        <f>5.5-115</f>
        <v>-109.5</v>
      </c>
      <c r="E11" s="20" t="s">
        <v>625</v>
      </c>
      <c r="F11" s="21">
        <v>195</v>
      </c>
    </row>
    <row r="12" spans="1:6" x14ac:dyDescent="0.25">
      <c r="A12" s="10" t="s">
        <v>624</v>
      </c>
      <c r="B12" s="19"/>
      <c r="C12" s="33"/>
      <c r="D12" s="21"/>
      <c r="E12" s="20"/>
      <c r="F12" s="21"/>
    </row>
    <row r="13" spans="1:6" ht="38.25" thickBot="1" x14ac:dyDescent="0.3">
      <c r="A13" s="22" t="s">
        <v>17</v>
      </c>
    </row>
    <row r="14" spans="1:6" ht="67.5" x14ac:dyDescent="0.25">
      <c r="A14" s="27" t="s">
        <v>116</v>
      </c>
    </row>
    <row r="15" spans="1:6" x14ac:dyDescent="0.25">
      <c r="A15" s="23" t="s">
        <v>102</v>
      </c>
    </row>
    <row r="16" spans="1:6" ht="15.75" thickBot="1" x14ac:dyDescent="0.3">
      <c r="A16" s="3" t="s">
        <v>626</v>
      </c>
      <c r="B16" s="4"/>
      <c r="C16" s="4" t="s">
        <v>8</v>
      </c>
      <c r="D16" s="4" t="s">
        <v>9</v>
      </c>
      <c r="E16" s="4" t="s">
        <v>10</v>
      </c>
      <c r="F16" s="4" t="s">
        <v>11</v>
      </c>
    </row>
    <row r="17" spans="1:6" x14ac:dyDescent="0.25">
      <c r="A17" s="5">
        <v>451</v>
      </c>
      <c r="B17" s="25">
        <v>35</v>
      </c>
      <c r="C17" s="32"/>
      <c r="D17" s="16">
        <f>-3.5-102</f>
        <v>-105.5</v>
      </c>
      <c r="E17" s="18" t="s">
        <v>188</v>
      </c>
      <c r="F17" s="16">
        <v>-166</v>
      </c>
    </row>
    <row r="18" spans="1:6" x14ac:dyDescent="0.25">
      <c r="A18" s="6" t="s">
        <v>627</v>
      </c>
      <c r="B18" s="24"/>
      <c r="C18" s="31"/>
      <c r="D18" s="15"/>
      <c r="E18" s="17"/>
      <c r="F18" s="15"/>
    </row>
    <row r="19" spans="1:6" x14ac:dyDescent="0.25">
      <c r="A19" s="9">
        <v>452</v>
      </c>
      <c r="B19" s="26">
        <v>7</v>
      </c>
      <c r="C19" s="33"/>
      <c r="D19" s="20">
        <f>3.5-118</f>
        <v>-114.5</v>
      </c>
      <c r="E19" s="21" t="s">
        <v>195</v>
      </c>
      <c r="F19" s="20">
        <v>140</v>
      </c>
    </row>
    <row r="20" spans="1:6" x14ac:dyDescent="0.25">
      <c r="A20" s="10" t="s">
        <v>628</v>
      </c>
      <c r="B20" s="26"/>
      <c r="C20" s="33"/>
      <c r="D20" s="20"/>
      <c r="E20" s="21"/>
      <c r="F20" s="20"/>
    </row>
    <row r="21" spans="1:6" ht="37.5" x14ac:dyDescent="0.25">
      <c r="A21" s="22" t="s">
        <v>17</v>
      </c>
    </row>
    <row r="22" spans="1:6" ht="15.75" thickBot="1" x14ac:dyDescent="0.3">
      <c r="A22" s="3" t="s">
        <v>629</v>
      </c>
      <c r="B22" s="4"/>
      <c r="C22" s="4" t="s">
        <v>8</v>
      </c>
      <c r="D22" s="4" t="s">
        <v>9</v>
      </c>
      <c r="E22" s="4" t="s">
        <v>10</v>
      </c>
      <c r="F22" s="4" t="s">
        <v>11</v>
      </c>
    </row>
    <row r="23" spans="1:6" x14ac:dyDescent="0.25">
      <c r="A23" s="5">
        <v>459</v>
      </c>
      <c r="B23" s="14">
        <v>14</v>
      </c>
      <c r="C23" s="32"/>
      <c r="D23" s="18">
        <f>3.5-105</f>
        <v>-101.5</v>
      </c>
      <c r="E23" s="18" t="s">
        <v>185</v>
      </c>
      <c r="F23" s="18">
        <v>170</v>
      </c>
    </row>
    <row r="24" spans="1:6" x14ac:dyDescent="0.25">
      <c r="A24" s="6" t="s">
        <v>630</v>
      </c>
      <c r="B24" s="13"/>
      <c r="C24" s="31"/>
      <c r="D24" s="17"/>
      <c r="E24" s="17"/>
      <c r="F24" s="17"/>
    </row>
    <row r="25" spans="1:6" x14ac:dyDescent="0.25">
      <c r="A25" s="9">
        <v>460</v>
      </c>
      <c r="B25" s="19">
        <v>26</v>
      </c>
      <c r="C25" s="33"/>
      <c r="D25" s="21">
        <f>-3.5-115</f>
        <v>-118.5</v>
      </c>
      <c r="E25" s="21" t="s">
        <v>187</v>
      </c>
      <c r="F25" s="21">
        <v>-205</v>
      </c>
    </row>
    <row r="26" spans="1:6" x14ac:dyDescent="0.25">
      <c r="A26" s="10" t="s">
        <v>631</v>
      </c>
      <c r="B26" s="19"/>
      <c r="C26" s="33"/>
      <c r="D26" s="21"/>
      <c r="E26" s="21"/>
      <c r="F26" s="21"/>
    </row>
    <row r="27" spans="1:6" ht="37.5" x14ac:dyDescent="0.25">
      <c r="A27" s="22" t="s">
        <v>17</v>
      </c>
    </row>
    <row r="28" spans="1:6" ht="15.75" thickBot="1" x14ac:dyDescent="0.3">
      <c r="A28" s="3" t="s">
        <v>629</v>
      </c>
      <c r="B28" s="4"/>
      <c r="C28" s="4" t="s">
        <v>8</v>
      </c>
      <c r="D28" s="4" t="s">
        <v>9</v>
      </c>
      <c r="E28" s="4" t="s">
        <v>10</v>
      </c>
      <c r="F28" s="4" t="s">
        <v>11</v>
      </c>
    </row>
    <row r="29" spans="1:6" x14ac:dyDescent="0.25">
      <c r="A29" s="5">
        <v>463</v>
      </c>
      <c r="B29" s="25">
        <v>13</v>
      </c>
      <c r="C29" s="32"/>
      <c r="D29" s="16">
        <f>1.5-125</f>
        <v>-123.5</v>
      </c>
      <c r="E29" s="18" t="s">
        <v>633</v>
      </c>
      <c r="F29" s="16">
        <v>-108</v>
      </c>
    </row>
    <row r="30" spans="1:6" x14ac:dyDescent="0.25">
      <c r="A30" s="6" t="s">
        <v>632</v>
      </c>
      <c r="B30" s="24"/>
      <c r="C30" s="31"/>
      <c r="D30" s="15"/>
      <c r="E30" s="17"/>
      <c r="F30" s="15"/>
    </row>
    <row r="31" spans="1:6" x14ac:dyDescent="0.25">
      <c r="A31" s="9">
        <v>464</v>
      </c>
      <c r="B31" s="26">
        <v>6</v>
      </c>
      <c r="C31" s="33"/>
      <c r="D31" s="20">
        <f>-1.5+105</f>
        <v>103.5</v>
      </c>
      <c r="E31" s="21" t="s">
        <v>635</v>
      </c>
      <c r="F31" s="20">
        <v>-112</v>
      </c>
    </row>
    <row r="32" spans="1:6" x14ac:dyDescent="0.25">
      <c r="A32" s="10" t="s">
        <v>634</v>
      </c>
      <c r="B32" s="26"/>
      <c r="C32" s="33"/>
      <c r="D32" s="20"/>
      <c r="E32" s="21"/>
      <c r="F32" s="20"/>
    </row>
    <row r="33" spans="1:6" ht="37.5" x14ac:dyDescent="0.25">
      <c r="A33" s="22" t="s">
        <v>17</v>
      </c>
    </row>
    <row r="34" spans="1:6" ht="15.75" thickBot="1" x14ac:dyDescent="0.3">
      <c r="A34" s="3" t="s">
        <v>629</v>
      </c>
      <c r="B34" s="4"/>
      <c r="C34" s="4" t="s">
        <v>8</v>
      </c>
      <c r="D34" s="4" t="s">
        <v>9</v>
      </c>
      <c r="E34" s="4" t="s">
        <v>10</v>
      </c>
      <c r="F34" s="4" t="s">
        <v>11</v>
      </c>
    </row>
    <row r="35" spans="1:6" x14ac:dyDescent="0.25">
      <c r="A35" s="5">
        <v>461</v>
      </c>
      <c r="B35" s="25">
        <v>28</v>
      </c>
      <c r="C35" s="32"/>
      <c r="D35" s="16">
        <f>-2.5-125</f>
        <v>-127.5</v>
      </c>
      <c r="E35" s="16" t="s">
        <v>637</v>
      </c>
      <c r="F35" s="16">
        <v>-160</v>
      </c>
    </row>
    <row r="36" spans="1:6" x14ac:dyDescent="0.25">
      <c r="A36" s="6" t="s">
        <v>636</v>
      </c>
      <c r="B36" s="24"/>
      <c r="C36" s="31"/>
      <c r="D36" s="15"/>
      <c r="E36" s="15"/>
      <c r="F36" s="15"/>
    </row>
    <row r="37" spans="1:6" x14ac:dyDescent="0.25">
      <c r="A37" s="9">
        <v>462</v>
      </c>
      <c r="B37" s="26">
        <v>22</v>
      </c>
      <c r="C37" s="33"/>
      <c r="D37" s="20">
        <f>2.5-105</f>
        <v>-102.5</v>
      </c>
      <c r="E37" s="20" t="s">
        <v>187</v>
      </c>
      <c r="F37" s="20">
        <v>124</v>
      </c>
    </row>
    <row r="38" spans="1:6" x14ac:dyDescent="0.25">
      <c r="A38" s="10" t="s">
        <v>638</v>
      </c>
      <c r="B38" s="26"/>
      <c r="C38" s="33"/>
      <c r="D38" s="20"/>
      <c r="E38" s="20"/>
      <c r="F38" s="20"/>
    </row>
    <row r="39" spans="1:6" ht="37.5" x14ac:dyDescent="0.25">
      <c r="A39" s="22" t="s">
        <v>17</v>
      </c>
    </row>
    <row r="40" spans="1:6" ht="15.75" thickBot="1" x14ac:dyDescent="0.3">
      <c r="A40" s="3" t="s">
        <v>629</v>
      </c>
      <c r="B40" s="4"/>
      <c r="C40" s="4" t="s">
        <v>8</v>
      </c>
      <c r="D40" s="4" t="s">
        <v>9</v>
      </c>
      <c r="E40" s="4" t="s">
        <v>10</v>
      </c>
      <c r="F40" s="4" t="s">
        <v>11</v>
      </c>
    </row>
    <row r="41" spans="1:6" x14ac:dyDescent="0.25">
      <c r="A41" s="5">
        <v>455</v>
      </c>
      <c r="B41" s="14">
        <v>6</v>
      </c>
      <c r="C41" s="32"/>
      <c r="D41" s="18">
        <f>2.5-102</f>
        <v>-99.5</v>
      </c>
      <c r="E41" s="16" t="s">
        <v>135</v>
      </c>
      <c r="F41" s="18">
        <v>120</v>
      </c>
    </row>
    <row r="42" spans="1:6" x14ac:dyDescent="0.25">
      <c r="A42" s="6" t="s">
        <v>639</v>
      </c>
      <c r="B42" s="13"/>
      <c r="C42" s="31"/>
      <c r="D42" s="17"/>
      <c r="E42" s="15"/>
      <c r="F42" s="17"/>
    </row>
    <row r="43" spans="1:6" x14ac:dyDescent="0.25">
      <c r="A43" s="9">
        <v>456</v>
      </c>
      <c r="B43" s="19">
        <v>31</v>
      </c>
      <c r="C43" s="33"/>
      <c r="D43" s="21">
        <f>-2.5-118</f>
        <v>-120.5</v>
      </c>
      <c r="E43" s="20" t="s">
        <v>137</v>
      </c>
      <c r="F43" s="21">
        <v>-142</v>
      </c>
    </row>
    <row r="44" spans="1:6" x14ac:dyDescent="0.25">
      <c r="A44" s="10" t="s">
        <v>640</v>
      </c>
      <c r="B44" s="19"/>
      <c r="C44" s="33"/>
      <c r="D44" s="21"/>
      <c r="E44" s="20"/>
      <c r="F44" s="21"/>
    </row>
    <row r="45" spans="1:6" ht="37.5" x14ac:dyDescent="0.25">
      <c r="A45" s="22" t="s">
        <v>17</v>
      </c>
    </row>
    <row r="46" spans="1:6" ht="15.75" thickBot="1" x14ac:dyDescent="0.3">
      <c r="A46" s="3" t="s">
        <v>629</v>
      </c>
      <c r="B46" s="4"/>
      <c r="C46" s="4" t="s">
        <v>8</v>
      </c>
      <c r="D46" s="4" t="s">
        <v>9</v>
      </c>
      <c r="E46" s="4" t="s">
        <v>10</v>
      </c>
      <c r="F46" s="4" t="s">
        <v>11</v>
      </c>
    </row>
    <row r="47" spans="1:6" x14ac:dyDescent="0.25">
      <c r="A47" s="5">
        <v>457</v>
      </c>
      <c r="B47" s="25">
        <v>31</v>
      </c>
      <c r="C47" s="32"/>
      <c r="D47" s="16">
        <f>-6.5-110</f>
        <v>-116.5</v>
      </c>
      <c r="E47" s="16" t="s">
        <v>420</v>
      </c>
      <c r="F47" s="16">
        <v>-305</v>
      </c>
    </row>
    <row r="48" spans="1:6" x14ac:dyDescent="0.25">
      <c r="A48" s="6" t="s">
        <v>641</v>
      </c>
      <c r="B48" s="24"/>
      <c r="C48" s="31"/>
      <c r="D48" s="15"/>
      <c r="E48" s="15"/>
      <c r="F48" s="15"/>
    </row>
    <row r="49" spans="1:6" x14ac:dyDescent="0.25">
      <c r="A49" s="9">
        <v>458</v>
      </c>
      <c r="B49" s="26">
        <v>13</v>
      </c>
      <c r="C49" s="33"/>
      <c r="D49" s="20">
        <f>6.5-110</f>
        <v>-103.5</v>
      </c>
      <c r="E49" s="20" t="s">
        <v>164</v>
      </c>
      <c r="F49" s="20">
        <v>240</v>
      </c>
    </row>
    <row r="50" spans="1:6" x14ac:dyDescent="0.25">
      <c r="A50" s="10" t="s">
        <v>642</v>
      </c>
      <c r="B50" s="26"/>
      <c r="C50" s="33"/>
      <c r="D50" s="20"/>
      <c r="E50" s="20"/>
      <c r="F50" s="20"/>
    </row>
    <row r="51" spans="1:6" ht="37.5" x14ac:dyDescent="0.25">
      <c r="A51" s="22" t="s">
        <v>17</v>
      </c>
    </row>
    <row r="52" spans="1:6" ht="15.75" thickBot="1" x14ac:dyDescent="0.3">
      <c r="A52" s="3" t="s">
        <v>629</v>
      </c>
      <c r="B52" s="4"/>
      <c r="C52" s="4" t="s">
        <v>8</v>
      </c>
      <c r="D52" s="4" t="s">
        <v>9</v>
      </c>
      <c r="E52" s="4" t="s">
        <v>10</v>
      </c>
      <c r="F52" s="4" t="s">
        <v>11</v>
      </c>
    </row>
    <row r="53" spans="1:6" x14ac:dyDescent="0.25">
      <c r="A53" s="5">
        <v>453</v>
      </c>
      <c r="B53" s="14">
        <v>0</v>
      </c>
      <c r="C53" s="32"/>
      <c r="D53" s="18" t="s">
        <v>132</v>
      </c>
      <c r="E53" s="18" t="s">
        <v>644</v>
      </c>
      <c r="F53" s="18">
        <v>600</v>
      </c>
    </row>
    <row r="54" spans="1:6" x14ac:dyDescent="0.25">
      <c r="A54" s="6" t="s">
        <v>643</v>
      </c>
      <c r="B54" s="13"/>
      <c r="C54" s="31"/>
      <c r="D54" s="17"/>
      <c r="E54" s="17"/>
      <c r="F54" s="17"/>
    </row>
    <row r="55" spans="1:6" x14ac:dyDescent="0.25">
      <c r="A55" s="9">
        <v>454</v>
      </c>
      <c r="B55" s="19">
        <v>31</v>
      </c>
      <c r="C55" s="33"/>
      <c r="D55" s="21">
        <f>-12.5-120</f>
        <v>-132.5</v>
      </c>
      <c r="E55" s="21" t="s">
        <v>646</v>
      </c>
      <c r="F55" s="21">
        <v>-850</v>
      </c>
    </row>
    <row r="56" spans="1:6" x14ac:dyDescent="0.25">
      <c r="A56" s="10" t="s">
        <v>645</v>
      </c>
      <c r="B56" s="19"/>
      <c r="C56" s="33"/>
      <c r="D56" s="21"/>
      <c r="E56" s="21"/>
      <c r="F56" s="21"/>
    </row>
    <row r="57" spans="1:6" ht="37.5" x14ac:dyDescent="0.25">
      <c r="A57" s="22" t="s">
        <v>17</v>
      </c>
    </row>
    <row r="58" spans="1:6" ht="15.75" thickBot="1" x14ac:dyDescent="0.3">
      <c r="A58" s="3" t="s">
        <v>647</v>
      </c>
      <c r="B58" s="4"/>
      <c r="C58" s="4" t="s">
        <v>8</v>
      </c>
      <c r="D58" s="4" t="s">
        <v>9</v>
      </c>
      <c r="E58" s="4" t="s">
        <v>10</v>
      </c>
      <c r="F58" s="4" t="s">
        <v>11</v>
      </c>
    </row>
    <row r="59" spans="1:6" x14ac:dyDescent="0.25">
      <c r="A59" s="5">
        <v>467</v>
      </c>
      <c r="B59" s="14">
        <v>32</v>
      </c>
      <c r="C59" s="32"/>
      <c r="D59" s="16">
        <f>7.5-102</f>
        <v>-94.5</v>
      </c>
      <c r="E59" s="16" t="s">
        <v>162</v>
      </c>
      <c r="F59" s="18">
        <v>330</v>
      </c>
    </row>
    <row r="60" spans="1:6" x14ac:dyDescent="0.25">
      <c r="A60" s="6" t="s">
        <v>648</v>
      </c>
      <c r="B60" s="13"/>
      <c r="C60" s="31"/>
      <c r="D60" s="15"/>
      <c r="E60" s="15"/>
      <c r="F60" s="17"/>
    </row>
    <row r="61" spans="1:6" x14ac:dyDescent="0.25">
      <c r="A61" s="9">
        <v>468</v>
      </c>
      <c r="B61" s="19">
        <v>33</v>
      </c>
      <c r="C61" s="33"/>
      <c r="D61" s="20">
        <f>-7.5-118</f>
        <v>-125.5</v>
      </c>
      <c r="E61" s="20" t="s">
        <v>120</v>
      </c>
      <c r="F61" s="21">
        <v>-410</v>
      </c>
    </row>
    <row r="62" spans="1:6" x14ac:dyDescent="0.25">
      <c r="A62" s="10" t="s">
        <v>649</v>
      </c>
      <c r="B62" s="19"/>
      <c r="C62" s="33"/>
      <c r="D62" s="20"/>
      <c r="E62" s="20"/>
      <c r="F62" s="21"/>
    </row>
    <row r="63" spans="1:6" ht="37.5" x14ac:dyDescent="0.25">
      <c r="A63" s="22" t="s">
        <v>17</v>
      </c>
    </row>
    <row r="64" spans="1:6" ht="15.75" thickBot="1" x14ac:dyDescent="0.3">
      <c r="A64" s="3" t="s">
        <v>647</v>
      </c>
      <c r="B64" s="4"/>
      <c r="C64" s="4" t="s">
        <v>8</v>
      </c>
      <c r="D64" s="4" t="s">
        <v>9</v>
      </c>
      <c r="E64" s="4" t="s">
        <v>10</v>
      </c>
      <c r="F64" s="4" t="s">
        <v>11</v>
      </c>
    </row>
    <row r="65" spans="1:6" x14ac:dyDescent="0.25">
      <c r="A65" s="5">
        <v>465</v>
      </c>
      <c r="B65" s="25">
        <v>38</v>
      </c>
      <c r="C65" s="32"/>
      <c r="D65" s="16">
        <f>2.5-108</f>
        <v>-105.5</v>
      </c>
      <c r="E65" s="16" t="s">
        <v>360</v>
      </c>
      <c r="F65" s="16">
        <v>120</v>
      </c>
    </row>
    <row r="66" spans="1:6" x14ac:dyDescent="0.25">
      <c r="A66" s="6" t="s">
        <v>650</v>
      </c>
      <c r="B66" s="24"/>
      <c r="C66" s="31"/>
      <c r="D66" s="15"/>
      <c r="E66" s="15"/>
      <c r="F66" s="15"/>
    </row>
    <row r="67" spans="1:6" x14ac:dyDescent="0.25">
      <c r="A67" s="9">
        <v>466</v>
      </c>
      <c r="B67" s="26">
        <v>24</v>
      </c>
      <c r="C67" s="33"/>
      <c r="D67" s="20">
        <f>-2.5-112</f>
        <v>-114.5</v>
      </c>
      <c r="E67" s="20" t="s">
        <v>477</v>
      </c>
      <c r="F67" s="20">
        <v>-142</v>
      </c>
    </row>
    <row r="68" spans="1:6" x14ac:dyDescent="0.25">
      <c r="A68" s="10" t="s">
        <v>651</v>
      </c>
      <c r="B68" s="26"/>
      <c r="C68" s="33"/>
      <c r="D68" s="20"/>
      <c r="E68" s="20"/>
      <c r="F68" s="20"/>
    </row>
    <row r="69" spans="1:6" ht="37.5" x14ac:dyDescent="0.25">
      <c r="A69" s="22" t="s">
        <v>17</v>
      </c>
    </row>
    <row r="70" spans="1:6" ht="15.75" thickBot="1" x14ac:dyDescent="0.3">
      <c r="A70" s="3" t="s">
        <v>652</v>
      </c>
      <c r="B70" s="4"/>
      <c r="C70" s="4" t="s">
        <v>8</v>
      </c>
      <c r="D70" s="4" t="s">
        <v>9</v>
      </c>
      <c r="E70" s="4" t="s">
        <v>10</v>
      </c>
      <c r="F70" s="4" t="s">
        <v>11</v>
      </c>
    </row>
    <row r="71" spans="1:6" x14ac:dyDescent="0.25">
      <c r="A71" s="5">
        <v>469</v>
      </c>
      <c r="B71" s="14">
        <v>22</v>
      </c>
      <c r="C71" s="32"/>
      <c r="D71" s="18">
        <f>1.5-108</f>
        <v>-106.5</v>
      </c>
      <c r="E71" s="16" t="s">
        <v>654</v>
      </c>
      <c r="F71" s="18">
        <v>105</v>
      </c>
    </row>
    <row r="72" spans="1:6" x14ac:dyDescent="0.25">
      <c r="A72" s="6" t="s">
        <v>653</v>
      </c>
      <c r="B72" s="13"/>
      <c r="C72" s="31"/>
      <c r="D72" s="17"/>
      <c r="E72" s="15"/>
      <c r="F72" s="17"/>
    </row>
    <row r="73" spans="1:6" x14ac:dyDescent="0.25">
      <c r="A73" s="9">
        <v>470</v>
      </c>
      <c r="B73" s="19">
        <v>44</v>
      </c>
      <c r="C73" s="33"/>
      <c r="D73" s="21">
        <f>-1.5-112</f>
        <v>-113.5</v>
      </c>
      <c r="E73" s="20" t="s">
        <v>656</v>
      </c>
      <c r="F73" s="21">
        <v>-125</v>
      </c>
    </row>
    <row r="74" spans="1:6" x14ac:dyDescent="0.25">
      <c r="A74" s="10" t="s">
        <v>655</v>
      </c>
      <c r="B74" s="19"/>
      <c r="C74" s="33"/>
      <c r="D74" s="21"/>
      <c r="E74" s="20"/>
      <c r="F74" s="21"/>
    </row>
    <row r="75" spans="1:6" ht="37.5" x14ac:dyDescent="0.25">
      <c r="A75" s="22" t="s">
        <v>17</v>
      </c>
    </row>
    <row r="76" spans="1:6" ht="15.75" thickBot="1" x14ac:dyDescent="0.3">
      <c r="A76" s="3" t="s">
        <v>652</v>
      </c>
      <c r="B76" s="4"/>
      <c r="C76" s="4" t="s">
        <v>8</v>
      </c>
      <c r="D76" s="4" t="s">
        <v>9</v>
      </c>
      <c r="E76" s="4" t="s">
        <v>10</v>
      </c>
      <c r="F76" s="4" t="s">
        <v>11</v>
      </c>
    </row>
    <row r="77" spans="1:6" x14ac:dyDescent="0.25">
      <c r="A77" s="5">
        <v>471</v>
      </c>
      <c r="B77" s="25">
        <v>27</v>
      </c>
      <c r="C77" s="32"/>
      <c r="D77" s="18">
        <f>-7-112</f>
        <v>-119</v>
      </c>
      <c r="E77" s="16" t="s">
        <v>106</v>
      </c>
      <c r="F77" s="16">
        <v>-380</v>
      </c>
    </row>
    <row r="78" spans="1:6" x14ac:dyDescent="0.25">
      <c r="A78" s="6" t="s">
        <v>657</v>
      </c>
      <c r="B78" s="24"/>
      <c r="C78" s="31"/>
      <c r="D78" s="17"/>
      <c r="E78" s="15"/>
      <c r="F78" s="15"/>
    </row>
    <row r="79" spans="1:6" x14ac:dyDescent="0.25">
      <c r="A79" s="9">
        <v>472</v>
      </c>
      <c r="B79" s="26">
        <v>23</v>
      </c>
      <c r="C79" s="33"/>
      <c r="D79" s="21">
        <f>7-108</f>
        <v>-101</v>
      </c>
      <c r="E79" s="20" t="s">
        <v>109</v>
      </c>
      <c r="F79" s="20">
        <v>285</v>
      </c>
    </row>
    <row r="80" spans="1:6" x14ac:dyDescent="0.25">
      <c r="A80" s="10" t="s">
        <v>658</v>
      </c>
      <c r="B80" s="26"/>
      <c r="C80" s="33"/>
      <c r="D80" s="21"/>
      <c r="E80" s="20"/>
      <c r="F80" s="20"/>
    </row>
    <row r="81" spans="1:6" ht="37.5" x14ac:dyDescent="0.25">
      <c r="A81" s="22" t="s">
        <v>17</v>
      </c>
    </row>
    <row r="82" spans="1:6" ht="15.75" thickBot="1" x14ac:dyDescent="0.3">
      <c r="A82" s="3" t="s">
        <v>659</v>
      </c>
      <c r="B82" s="4"/>
      <c r="C82" s="4" t="s">
        <v>8</v>
      </c>
      <c r="D82" s="4" t="s">
        <v>9</v>
      </c>
      <c r="E82" s="4" t="s">
        <v>10</v>
      </c>
      <c r="F82" s="4" t="s">
        <v>11</v>
      </c>
    </row>
    <row r="83" spans="1:6" x14ac:dyDescent="0.25">
      <c r="A83" s="5">
        <v>473</v>
      </c>
      <c r="B83" s="14">
        <v>10</v>
      </c>
      <c r="C83" s="32"/>
      <c r="D83" s="18">
        <f>1.5-120</f>
        <v>-118.5</v>
      </c>
      <c r="E83" s="18" t="s">
        <v>495</v>
      </c>
      <c r="F83" s="18">
        <v>-105</v>
      </c>
    </row>
    <row r="84" spans="1:6" x14ac:dyDescent="0.25">
      <c r="A84" s="6" t="s">
        <v>660</v>
      </c>
      <c r="B84" s="13"/>
      <c r="C84" s="31"/>
      <c r="D84" s="17"/>
      <c r="E84" s="17"/>
      <c r="F84" s="17"/>
    </row>
    <row r="85" spans="1:6" x14ac:dyDescent="0.25">
      <c r="A85" s="9">
        <v>474</v>
      </c>
      <c r="B85" s="19">
        <v>20</v>
      </c>
      <c r="C85" s="33"/>
      <c r="D85" s="21" t="s">
        <v>517</v>
      </c>
      <c r="E85" s="21" t="s">
        <v>31</v>
      </c>
      <c r="F85" s="21">
        <v>-115</v>
      </c>
    </row>
    <row r="86" spans="1:6" x14ac:dyDescent="0.25">
      <c r="A86" s="10" t="s">
        <v>661</v>
      </c>
      <c r="B86" s="19"/>
      <c r="C86" s="33"/>
      <c r="D86" s="21"/>
      <c r="E86" s="21"/>
      <c r="F86" s="21"/>
    </row>
    <row r="87" spans="1:6" ht="38.25" thickBot="1" x14ac:dyDescent="0.3">
      <c r="A87" s="22" t="s">
        <v>17</v>
      </c>
    </row>
    <row r="88" spans="1:6" ht="56.25" x14ac:dyDescent="0.25">
      <c r="A88" s="27" t="s">
        <v>174</v>
      </c>
    </row>
    <row r="89" spans="1:6" ht="15.75" thickBot="1" x14ac:dyDescent="0.3">
      <c r="A89" s="3" t="s">
        <v>662</v>
      </c>
      <c r="B89" s="4"/>
      <c r="C89" s="4" t="s">
        <v>8</v>
      </c>
      <c r="D89" s="4" t="s">
        <v>9</v>
      </c>
      <c r="E89" s="4" t="s">
        <v>10</v>
      </c>
      <c r="F89" s="4" t="s">
        <v>11</v>
      </c>
    </row>
    <row r="90" spans="1:6" x14ac:dyDescent="0.25">
      <c r="A90" s="5">
        <v>475</v>
      </c>
      <c r="B90" s="14">
        <v>9</v>
      </c>
      <c r="C90" s="32"/>
      <c r="D90" s="18">
        <f>6-112</f>
        <v>-106</v>
      </c>
      <c r="E90" s="18" t="s">
        <v>664</v>
      </c>
      <c r="F90" s="18">
        <v>225</v>
      </c>
    </row>
    <row r="91" spans="1:6" x14ac:dyDescent="0.25">
      <c r="A91" s="6" t="s">
        <v>663</v>
      </c>
      <c r="B91" s="13"/>
      <c r="C91" s="31"/>
      <c r="D91" s="17"/>
      <c r="E91" s="17"/>
      <c r="F91" s="17"/>
    </row>
    <row r="92" spans="1:6" x14ac:dyDescent="0.25">
      <c r="A92" s="9">
        <v>476</v>
      </c>
      <c r="B92" s="19">
        <v>24</v>
      </c>
      <c r="C92" s="33"/>
      <c r="D92" s="21">
        <f>-6-108</f>
        <v>-114</v>
      </c>
      <c r="E92" s="21" t="s">
        <v>666</v>
      </c>
      <c r="F92" s="21">
        <v>-265</v>
      </c>
    </row>
    <row r="93" spans="1:6" x14ac:dyDescent="0.25">
      <c r="A93" s="10" t="s">
        <v>665</v>
      </c>
      <c r="B93" s="19"/>
      <c r="C93" s="33"/>
      <c r="D93" s="21"/>
      <c r="E93" s="21"/>
      <c r="F93" s="21"/>
    </row>
    <row r="94" spans="1:6" ht="38.25" thickBot="1" x14ac:dyDescent="0.3">
      <c r="A94" s="22" t="s">
        <v>17</v>
      </c>
    </row>
    <row r="95" spans="1:6" ht="45" x14ac:dyDescent="0.25">
      <c r="A95" s="27" t="s">
        <v>667</v>
      </c>
    </row>
    <row r="96" spans="1:6" ht="15.75" thickBot="1" x14ac:dyDescent="0.3">
      <c r="A96" s="3" t="s">
        <v>668</v>
      </c>
      <c r="B96" s="4"/>
      <c r="C96" s="4" t="s">
        <v>8</v>
      </c>
      <c r="D96" s="4" t="s">
        <v>9</v>
      </c>
      <c r="E96" s="4" t="s">
        <v>10</v>
      </c>
      <c r="F96" s="4" t="s">
        <v>11</v>
      </c>
    </row>
    <row r="97" spans="1:6" x14ac:dyDescent="0.25">
      <c r="A97" s="5">
        <v>477</v>
      </c>
      <c r="B97" s="14">
        <v>19</v>
      </c>
      <c r="C97" s="32"/>
      <c r="D97" s="18">
        <f>3-108</f>
        <v>-105</v>
      </c>
      <c r="E97" s="16" t="s">
        <v>289</v>
      </c>
      <c r="F97" s="18">
        <v>140</v>
      </c>
    </row>
    <row r="98" spans="1:6" x14ac:dyDescent="0.25">
      <c r="A98" s="6" t="s">
        <v>669</v>
      </c>
      <c r="B98" s="13"/>
      <c r="C98" s="31"/>
      <c r="D98" s="17"/>
      <c r="E98" s="15"/>
      <c r="F98" s="17"/>
    </row>
    <row r="99" spans="1:6" x14ac:dyDescent="0.25">
      <c r="A99" s="9">
        <v>478</v>
      </c>
      <c r="B99" s="19">
        <v>27</v>
      </c>
      <c r="C99" s="33"/>
      <c r="D99" s="21">
        <f>-3-112</f>
        <v>-115</v>
      </c>
      <c r="E99" s="20" t="s">
        <v>291</v>
      </c>
      <c r="F99" s="21">
        <v>-166</v>
      </c>
    </row>
    <row r="100" spans="1:6" x14ac:dyDescent="0.25">
      <c r="A100" s="10" t="s">
        <v>670</v>
      </c>
      <c r="B100" s="19"/>
      <c r="C100" s="33"/>
      <c r="D100" s="21"/>
      <c r="E100" s="20"/>
      <c r="F100" s="21"/>
    </row>
  </sheetData>
  <mergeCells count="150">
    <mergeCell ref="B97:B98"/>
    <mergeCell ref="C97:C98"/>
    <mergeCell ref="D97:D98"/>
    <mergeCell ref="E97:E98"/>
    <mergeCell ref="F97:F98"/>
    <mergeCell ref="B99:B100"/>
    <mergeCell ref="C99:C100"/>
    <mergeCell ref="D99:D100"/>
    <mergeCell ref="E99:E100"/>
    <mergeCell ref="F99:F100"/>
    <mergeCell ref="B90:B91"/>
    <mergeCell ref="C90:C91"/>
    <mergeCell ref="D90:D91"/>
    <mergeCell ref="E90:E91"/>
    <mergeCell ref="F90:F91"/>
    <mergeCell ref="B92:B93"/>
    <mergeCell ref="C92:C93"/>
    <mergeCell ref="D92:D93"/>
    <mergeCell ref="E92:E93"/>
    <mergeCell ref="F92:F93"/>
    <mergeCell ref="B83:B84"/>
    <mergeCell ref="C83:C84"/>
    <mergeCell ref="D83:D84"/>
    <mergeCell ref="E83:E84"/>
    <mergeCell ref="F83:F84"/>
    <mergeCell ref="B85:B86"/>
    <mergeCell ref="C85:C86"/>
    <mergeCell ref="D85:D86"/>
    <mergeCell ref="E85:E86"/>
    <mergeCell ref="F85:F86"/>
    <mergeCell ref="B77:B78"/>
    <mergeCell ref="C77:C78"/>
    <mergeCell ref="D77:D78"/>
    <mergeCell ref="E77:E78"/>
    <mergeCell ref="F77:F78"/>
    <mergeCell ref="B79:B80"/>
    <mergeCell ref="C79:C80"/>
    <mergeCell ref="D79:D80"/>
    <mergeCell ref="E79:E80"/>
    <mergeCell ref="F79:F80"/>
    <mergeCell ref="B71:B72"/>
    <mergeCell ref="C71:C72"/>
    <mergeCell ref="D71:D72"/>
    <mergeCell ref="E71:E72"/>
    <mergeCell ref="F71:F72"/>
    <mergeCell ref="B73:B74"/>
    <mergeCell ref="C73:C74"/>
    <mergeCell ref="D73:D74"/>
    <mergeCell ref="E73:E74"/>
    <mergeCell ref="F73:F74"/>
    <mergeCell ref="B65:B66"/>
    <mergeCell ref="C65:C66"/>
    <mergeCell ref="D65:D66"/>
    <mergeCell ref="E65:E66"/>
    <mergeCell ref="F65:F66"/>
    <mergeCell ref="B67:B68"/>
    <mergeCell ref="C67:C68"/>
    <mergeCell ref="D67:D68"/>
    <mergeCell ref="E67:E68"/>
    <mergeCell ref="F67:F68"/>
    <mergeCell ref="B59:B60"/>
    <mergeCell ref="C59:C60"/>
    <mergeCell ref="D59:D60"/>
    <mergeCell ref="E59:E60"/>
    <mergeCell ref="F59:F60"/>
    <mergeCell ref="B61:B62"/>
    <mergeCell ref="C61:C62"/>
    <mergeCell ref="D61:D62"/>
    <mergeCell ref="E61:E62"/>
    <mergeCell ref="F61:F62"/>
    <mergeCell ref="B53:B54"/>
    <mergeCell ref="C53:C54"/>
    <mergeCell ref="D53:D54"/>
    <mergeCell ref="E53:E54"/>
    <mergeCell ref="F53:F54"/>
    <mergeCell ref="B55:B56"/>
    <mergeCell ref="C55:C56"/>
    <mergeCell ref="D55:D56"/>
    <mergeCell ref="E55:E56"/>
    <mergeCell ref="F55:F56"/>
    <mergeCell ref="B47:B48"/>
    <mergeCell ref="C47:C48"/>
    <mergeCell ref="D47:D48"/>
    <mergeCell ref="E47:E48"/>
    <mergeCell ref="F47:F48"/>
    <mergeCell ref="B49:B50"/>
    <mergeCell ref="C49:C50"/>
    <mergeCell ref="D49:D50"/>
    <mergeCell ref="E49:E50"/>
    <mergeCell ref="F49:F50"/>
    <mergeCell ref="B41:B42"/>
    <mergeCell ref="C41:C42"/>
    <mergeCell ref="D41:D42"/>
    <mergeCell ref="E41:E42"/>
    <mergeCell ref="F41:F42"/>
    <mergeCell ref="B43:B44"/>
    <mergeCell ref="C43:C44"/>
    <mergeCell ref="D43:D44"/>
    <mergeCell ref="E43:E44"/>
    <mergeCell ref="F43:F44"/>
    <mergeCell ref="B35:B36"/>
    <mergeCell ref="C35:C36"/>
    <mergeCell ref="D35:D36"/>
    <mergeCell ref="E35:E36"/>
    <mergeCell ref="F35:F36"/>
    <mergeCell ref="B37:B38"/>
    <mergeCell ref="C37:C38"/>
    <mergeCell ref="D37:D38"/>
    <mergeCell ref="E37:E38"/>
    <mergeCell ref="F37:F38"/>
    <mergeCell ref="B29:B30"/>
    <mergeCell ref="C29:C30"/>
    <mergeCell ref="D29:D30"/>
    <mergeCell ref="E29:E30"/>
    <mergeCell ref="F29:F30"/>
    <mergeCell ref="B31:B32"/>
    <mergeCell ref="C31:C32"/>
    <mergeCell ref="D31:D32"/>
    <mergeCell ref="E31:E32"/>
    <mergeCell ref="F31:F32"/>
    <mergeCell ref="B23:B24"/>
    <mergeCell ref="C23:C24"/>
    <mergeCell ref="D23:D24"/>
    <mergeCell ref="E23:E24"/>
    <mergeCell ref="F23:F24"/>
    <mergeCell ref="B25:B26"/>
    <mergeCell ref="C25:C26"/>
    <mergeCell ref="D25:D26"/>
    <mergeCell ref="E25:E26"/>
    <mergeCell ref="F25:F26"/>
    <mergeCell ref="B17:B18"/>
    <mergeCell ref="C17:C18"/>
    <mergeCell ref="D17:D18"/>
    <mergeCell ref="E17:E18"/>
    <mergeCell ref="F17:F18"/>
    <mergeCell ref="B19:B20"/>
    <mergeCell ref="C19:C20"/>
    <mergeCell ref="D19:D20"/>
    <mergeCell ref="E19:E20"/>
    <mergeCell ref="F19:F20"/>
    <mergeCell ref="B9:B10"/>
    <mergeCell ref="C9:C10"/>
    <mergeCell ref="D9:D10"/>
    <mergeCell ref="E9:E10"/>
    <mergeCell ref="F9:F10"/>
    <mergeCell ref="B11:B12"/>
    <mergeCell ref="C11:C12"/>
    <mergeCell ref="D11:D12"/>
    <mergeCell ref="E11:E12"/>
    <mergeCell ref="F11:F12"/>
  </mergeCells>
  <hyperlinks>
    <hyperlink ref="A2" r:id="rId1" display="https://www.scoresandodds.com/nfl/odds" xr:uid="{7E8A5B15-7C66-4C2F-93C5-FEECACC95CC1}"/>
    <hyperlink ref="A3" r:id="rId2" display="https://www.scoresandodds.com/nfl/consensus-picks" xr:uid="{6962D33E-3288-42E9-9747-CA222B2DA058}"/>
    <hyperlink ref="A4" r:id="rId3" display="https://www.scoresandodds.com/nfl/more-lines" xr:uid="{9AD1BD93-8712-4410-86A9-80C4ED154056}"/>
    <hyperlink ref="A5" r:id="rId4" display="https://www.scoresandodds.com/nfl/props" xr:uid="{525A6AF4-F71D-446D-8C22-3863B9B7BAC2}"/>
    <hyperlink ref="A6" r:id="rId5" display="https://www.scoresandodds.com/nfl/parlays" xr:uid="{A6C1F902-796A-4750-A2C4-FE0B7F7E9BFC}"/>
    <hyperlink ref="A7" r:id="rId6" display="https://www.scoresandodds.com/nfl/picks" xr:uid="{49F49A42-149C-4414-9F8A-5595B74A2DA5}"/>
    <hyperlink ref="A10" r:id="rId7" display="https://www.scoresandodds.com/nfl/teams/steelers" xr:uid="{89E11ECA-61DA-42A7-B31E-853A8C03C49F}"/>
    <hyperlink ref="A12" r:id="rId8" display="https://www.scoresandodds.com/nfl/teams/bengals" xr:uid="{8497227B-2A4E-485C-98C1-D6B73353EFFD}"/>
    <hyperlink ref="A18" r:id="rId9" display="https://www.scoresandodds.com/nfl/teams/rams" xr:uid="{AA44D1E0-C40B-41DA-9D26-C6D904F74BE1}"/>
    <hyperlink ref="A20" r:id="rId10" display="https://www.scoresandodds.com/nfl/teams/jaguars" xr:uid="{8A3C6FD3-A973-4BF8-841F-49A9CE8A46C5}"/>
    <hyperlink ref="A24" r:id="rId11" display="https://www.scoresandodds.com/nfl/teams/saints" xr:uid="{981BDFE9-2640-4B5D-885F-53E14595FFEA}"/>
    <hyperlink ref="A26" r:id="rId12" display="https://www.scoresandodds.com/nfl/teams/bears" xr:uid="{548FD6FA-8A69-4FD5-BB02-852FE938EF7A}"/>
    <hyperlink ref="A30" r:id="rId13" display="https://www.scoresandodds.com/nfl/teams/panthers" xr:uid="{AD39D01F-49C9-4396-B2FB-EA62D89D43D9}"/>
    <hyperlink ref="A32" r:id="rId14" display="https://www.scoresandodds.com/nfl/teams/jets" xr:uid="{1DA2E940-8D27-47E7-A793-99D702DD465F}"/>
    <hyperlink ref="A36" r:id="rId15" display="https://www.scoresandodds.com/nfl/teams/eagles" xr:uid="{2765B8CE-1D82-4DCB-BA1B-A706351BC06D}"/>
    <hyperlink ref="A38" r:id="rId16" display="https://www.scoresandodds.com/nfl/teams/vikings" xr:uid="{A0DF9BF3-36A7-40D8-B43C-262FB1845AE6}"/>
    <hyperlink ref="A42" r:id="rId17" display="https://www.scoresandodds.com/nfl/teams/dolphins" xr:uid="{E8C4E186-8960-43F6-A43F-B52D1BFB5BEF}"/>
    <hyperlink ref="A44" r:id="rId18" display="https://www.scoresandodds.com/nfl/teams/browns" xr:uid="{193DF082-B629-4DF1-B944-9CFB03F835CC}"/>
    <hyperlink ref="A48" r:id="rId19" display="https://www.scoresandodds.com/nfl/teams/patriots" xr:uid="{BA4F8A07-B011-4EBA-8817-126C4E4BAC27}"/>
    <hyperlink ref="A50" r:id="rId20" display="https://www.scoresandodds.com/nfl/teams/titans" xr:uid="{5746A4F4-E072-4A0A-A71C-0F061A243132}"/>
    <hyperlink ref="A54" r:id="rId21" display="https://www.scoresandodds.com/nfl/teams/raiders" xr:uid="{2D70551F-E322-468C-917D-5E9FF8C3FC9F}"/>
    <hyperlink ref="A56" r:id="rId22" display="https://www.scoresandodds.com/nfl/teams/chiefs" xr:uid="{1A2CA774-B99B-4A1E-B5BE-704086D150CD}"/>
    <hyperlink ref="A60" r:id="rId23" display="https://www.scoresandodds.com/nfl/teams/giants" xr:uid="{52C2E308-D349-4947-9553-460260A735C6}"/>
    <hyperlink ref="A62" r:id="rId24" display="https://www.scoresandodds.com/nfl/teams/broncos" xr:uid="{B0CA6318-2996-4BE4-AFDA-99B6C4AEA1A6}"/>
    <hyperlink ref="A66" r:id="rId25" display="https://www.scoresandodds.com/nfl/teams/colts" xr:uid="{26C40405-2EC3-4FB6-B5EF-44DBB924D9A6}"/>
    <hyperlink ref="A68" r:id="rId26" display="https://www.scoresandodds.com/nfl/teams/chargers" xr:uid="{4B888E4F-31B6-405C-A141-CB4DEC864CD4}"/>
    <hyperlink ref="A72" r:id="rId27" display="https://www.scoresandodds.com/nfl/teams/commanders" xr:uid="{5904D822-2B2F-410F-B70F-1F03EB3EE52B}"/>
    <hyperlink ref="A74" r:id="rId28" display="https://www.scoresandodds.com/nfl/teams/cowboys" xr:uid="{FE004434-C49C-454F-A324-9A605E6A8404}"/>
    <hyperlink ref="A78" r:id="rId29" display="https://www.scoresandodds.com/nfl/teams/packers" xr:uid="{D96BDFBA-0518-41FC-95F8-EB918E88DBAB}"/>
    <hyperlink ref="A80" r:id="rId30" display="https://www.scoresandodds.com/nfl/teams/cardinals" xr:uid="{E40DD9C0-7AF8-4468-B4D0-C4CBC8584AED}"/>
    <hyperlink ref="A84" r:id="rId31" display="https://www.scoresandodds.com/nfl/teams/falcons" xr:uid="{8B9465BA-429C-4ED4-B42E-D7D1AB97F9CF}"/>
    <hyperlink ref="A86" r:id="rId32" display="https://www.scoresandodds.com/nfl/teams/49ers" xr:uid="{29A8B7A5-F538-4DFE-813D-48C1BAF4B3F1}"/>
    <hyperlink ref="A91" r:id="rId33" display="https://www.scoresandodds.com/nfl/teams/buccaneers" xr:uid="{4DB78753-D634-4721-8E93-1856A91AE79C}"/>
    <hyperlink ref="A93" r:id="rId34" display="https://www.scoresandodds.com/nfl/teams/lions" xr:uid="{6E6BEBA0-D279-4C1D-B6C7-3BB51E78939C}"/>
    <hyperlink ref="A98" r:id="rId35" display="https://www.scoresandodds.com/nfl/teams/texans" xr:uid="{14DEAE79-A73D-4059-8EF7-B96763FE04D5}"/>
    <hyperlink ref="A100" r:id="rId36" display="https://www.scoresandodds.com/nfl/teams/seahawks" xr:uid="{482488BE-FC6E-448E-A20F-0E74C4BF8E3A}"/>
  </hyperlinks>
  <pageMargins left="0.7" right="0.7" top="0.75" bottom="0.75" header="0.3" footer="0.3"/>
  <drawing r:id="rId3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DE09-1707-4855-A6C8-6315BF53EB8A}">
  <dimension ref="A1:F165"/>
  <sheetViews>
    <sheetView workbookViewId="0">
      <selection sqref="A1:F165"/>
    </sheetView>
  </sheetViews>
  <sheetFormatPr baseColWidth="10" defaultRowHeight="15" x14ac:dyDescent="0.25"/>
  <cols>
    <col min="1" max="1" width="70.5703125" bestFit="1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3" spans="1:6" x14ac:dyDescent="0.25">
      <c r="A3" s="2" t="s">
        <v>2</v>
      </c>
    </row>
    <row r="4" spans="1:6" x14ac:dyDescent="0.25">
      <c r="A4" s="2" t="s">
        <v>3</v>
      </c>
    </row>
    <row r="5" spans="1:6" x14ac:dyDescent="0.25">
      <c r="A5" s="2" t="s">
        <v>4</v>
      </c>
    </row>
    <row r="6" spans="1:6" x14ac:dyDescent="0.25">
      <c r="A6" s="2" t="s">
        <v>5</v>
      </c>
    </row>
    <row r="7" spans="1:6" x14ac:dyDescent="0.25">
      <c r="A7" s="2" t="s">
        <v>6</v>
      </c>
    </row>
    <row r="8" spans="1:6" ht="15.75" thickBot="1" x14ac:dyDescent="0.3">
      <c r="A8" s="3" t="s">
        <v>583</v>
      </c>
      <c r="B8" s="4"/>
      <c r="C8" s="4" t="s">
        <v>8</v>
      </c>
      <c r="D8" s="4" t="s">
        <v>9</v>
      </c>
      <c r="E8" s="4" t="s">
        <v>10</v>
      </c>
      <c r="F8" s="4" t="s">
        <v>11</v>
      </c>
    </row>
    <row r="9" spans="1:6" x14ac:dyDescent="0.25">
      <c r="A9" s="5">
        <v>109</v>
      </c>
      <c r="B9" s="14">
        <v>10</v>
      </c>
      <c r="C9" s="8" t="s">
        <v>454</v>
      </c>
      <c r="D9" s="18">
        <f>3.5-120</f>
        <v>-116.5</v>
      </c>
      <c r="E9" s="16" t="s">
        <v>454</v>
      </c>
      <c r="F9" s="18">
        <v>150</v>
      </c>
    </row>
    <row r="10" spans="1:6" x14ac:dyDescent="0.25">
      <c r="A10" s="6" t="s">
        <v>584</v>
      </c>
      <c r="B10" s="13"/>
      <c r="C10" s="8"/>
      <c r="D10" s="17"/>
      <c r="E10" s="15"/>
      <c r="F10" s="17"/>
    </row>
    <row r="11" spans="1:6" x14ac:dyDescent="0.25">
      <c r="A11" s="7"/>
      <c r="B11" s="13"/>
      <c r="C11" s="8" t="s">
        <v>109</v>
      </c>
      <c r="D11" s="17"/>
      <c r="E11" s="15"/>
      <c r="F11" s="17"/>
    </row>
    <row r="12" spans="1:6" x14ac:dyDescent="0.25">
      <c r="A12" s="7"/>
      <c r="B12" s="13"/>
      <c r="C12" s="8"/>
      <c r="D12" s="17"/>
      <c r="E12" s="15"/>
      <c r="F12" s="17"/>
    </row>
    <row r="13" spans="1:6" x14ac:dyDescent="0.25">
      <c r="A13" s="7"/>
      <c r="B13" s="13"/>
      <c r="C13" s="8" t="s">
        <v>109</v>
      </c>
      <c r="D13" s="17"/>
      <c r="E13" s="15"/>
      <c r="F13" s="17"/>
    </row>
    <row r="14" spans="1:6" x14ac:dyDescent="0.25">
      <c r="A14" s="9">
        <v>110</v>
      </c>
      <c r="B14" s="19">
        <v>37</v>
      </c>
      <c r="C14" s="12" t="s">
        <v>211</v>
      </c>
      <c r="D14" s="21" t="s">
        <v>211</v>
      </c>
      <c r="E14" s="20" t="s">
        <v>456</v>
      </c>
      <c r="F14" s="21">
        <v>-180</v>
      </c>
    </row>
    <row r="15" spans="1:6" x14ac:dyDescent="0.25">
      <c r="A15" s="10" t="s">
        <v>585</v>
      </c>
      <c r="B15" s="19"/>
      <c r="C15" s="12"/>
      <c r="D15" s="21"/>
      <c r="E15" s="20"/>
      <c r="F15" s="21"/>
    </row>
    <row r="16" spans="1:6" x14ac:dyDescent="0.25">
      <c r="A16" s="11"/>
      <c r="B16" s="19"/>
      <c r="C16" s="12" t="s">
        <v>211</v>
      </c>
      <c r="D16" s="21"/>
      <c r="E16" s="20"/>
      <c r="F16" s="21"/>
    </row>
    <row r="17" spans="1:6" x14ac:dyDescent="0.25">
      <c r="A17" s="11"/>
      <c r="B17" s="19"/>
      <c r="C17" s="12"/>
      <c r="D17" s="21"/>
      <c r="E17" s="20"/>
      <c r="F17" s="21"/>
    </row>
    <row r="18" spans="1:6" x14ac:dyDescent="0.25">
      <c r="A18" s="11"/>
      <c r="B18" s="19"/>
      <c r="C18" s="12">
        <f>-3.5-105</f>
        <v>-108.5</v>
      </c>
      <c r="D18" s="21"/>
      <c r="E18" s="20"/>
      <c r="F18" s="21"/>
    </row>
    <row r="19" spans="1:6" ht="38.25" thickBot="1" x14ac:dyDescent="0.3">
      <c r="A19" s="22" t="s">
        <v>17</v>
      </c>
    </row>
    <row r="20" spans="1:6" ht="67.5" x14ac:dyDescent="0.25">
      <c r="A20" s="27" t="s">
        <v>116</v>
      </c>
    </row>
    <row r="21" spans="1:6" x14ac:dyDescent="0.25">
      <c r="A21" s="23" t="s">
        <v>102</v>
      </c>
    </row>
    <row r="22" spans="1:6" ht="15.75" thickBot="1" x14ac:dyDescent="0.3">
      <c r="A22" s="3" t="s">
        <v>586</v>
      </c>
      <c r="B22" s="4"/>
      <c r="C22" s="4" t="s">
        <v>8</v>
      </c>
      <c r="D22" s="4" t="s">
        <v>9</v>
      </c>
      <c r="E22" s="4" t="s">
        <v>10</v>
      </c>
      <c r="F22" s="4" t="s">
        <v>11</v>
      </c>
    </row>
    <row r="23" spans="1:6" x14ac:dyDescent="0.25">
      <c r="A23" s="5">
        <v>273</v>
      </c>
      <c r="B23" s="14">
        <v>13</v>
      </c>
      <c r="C23" s="8" t="s">
        <v>269</v>
      </c>
      <c r="D23" s="18">
        <f>6.5-102</f>
        <v>-95.5</v>
      </c>
      <c r="E23" s="16" t="s">
        <v>270</v>
      </c>
      <c r="F23" s="18">
        <v>295</v>
      </c>
    </row>
    <row r="24" spans="1:6" x14ac:dyDescent="0.25">
      <c r="A24" s="6" t="s">
        <v>587</v>
      </c>
      <c r="B24" s="13"/>
      <c r="C24" s="8"/>
      <c r="D24" s="17"/>
      <c r="E24" s="15"/>
      <c r="F24" s="17"/>
    </row>
    <row r="25" spans="1:6" x14ac:dyDescent="0.25">
      <c r="A25" s="7"/>
      <c r="B25" s="13"/>
      <c r="C25" s="8" t="s">
        <v>552</v>
      </c>
      <c r="D25" s="17"/>
      <c r="E25" s="15"/>
      <c r="F25" s="17"/>
    </row>
    <row r="26" spans="1:6" x14ac:dyDescent="0.25">
      <c r="A26" s="7"/>
      <c r="B26" s="13"/>
      <c r="C26" s="8"/>
      <c r="D26" s="17"/>
      <c r="E26" s="15"/>
      <c r="F26" s="17"/>
    </row>
    <row r="27" spans="1:6" x14ac:dyDescent="0.25">
      <c r="A27" s="7"/>
      <c r="B27" s="13"/>
      <c r="C27" s="8" t="s">
        <v>119</v>
      </c>
      <c r="D27" s="17"/>
      <c r="E27" s="15"/>
      <c r="F27" s="17"/>
    </row>
    <row r="28" spans="1:6" x14ac:dyDescent="0.25">
      <c r="A28" s="9">
        <v>274</v>
      </c>
      <c r="B28" s="19">
        <v>32</v>
      </c>
      <c r="C28" s="12">
        <f>-7-105</f>
        <v>-112</v>
      </c>
      <c r="D28" s="21">
        <f>-6.5-118</f>
        <v>-124.5</v>
      </c>
      <c r="E28" s="20" t="s">
        <v>269</v>
      </c>
      <c r="F28" s="21">
        <v>-375</v>
      </c>
    </row>
    <row r="29" spans="1:6" x14ac:dyDescent="0.25">
      <c r="A29" s="10" t="s">
        <v>588</v>
      </c>
      <c r="B29" s="19"/>
      <c r="C29" s="12"/>
      <c r="D29" s="21"/>
      <c r="E29" s="20"/>
      <c r="F29" s="21"/>
    </row>
    <row r="30" spans="1:6" x14ac:dyDescent="0.25">
      <c r="A30" s="11"/>
      <c r="B30" s="19"/>
      <c r="C30" s="12">
        <f>-7-105</f>
        <v>-112</v>
      </c>
      <c r="D30" s="21"/>
      <c r="E30" s="20"/>
      <c r="F30" s="21"/>
    </row>
    <row r="31" spans="1:6" x14ac:dyDescent="0.25">
      <c r="A31" s="11"/>
      <c r="B31" s="19"/>
      <c r="C31" s="12"/>
      <c r="D31" s="21"/>
      <c r="E31" s="20"/>
      <c r="F31" s="21"/>
    </row>
    <row r="32" spans="1:6" x14ac:dyDescent="0.25">
      <c r="A32" s="11"/>
      <c r="B32" s="19"/>
      <c r="C32" s="12">
        <f>-7-105</f>
        <v>-112</v>
      </c>
      <c r="D32" s="21"/>
      <c r="E32" s="20"/>
      <c r="F32" s="21"/>
    </row>
    <row r="33" spans="1:6" ht="37.5" x14ac:dyDescent="0.25">
      <c r="A33" s="22" t="s">
        <v>17</v>
      </c>
    </row>
    <row r="34" spans="1:6" ht="15.75" thickBot="1" x14ac:dyDescent="0.3">
      <c r="A34" s="3" t="s">
        <v>586</v>
      </c>
      <c r="B34" s="4"/>
      <c r="C34" s="4" t="s">
        <v>8</v>
      </c>
      <c r="D34" s="4" t="s">
        <v>9</v>
      </c>
      <c r="E34" s="4" t="s">
        <v>10</v>
      </c>
      <c r="F34" s="4" t="s">
        <v>11</v>
      </c>
    </row>
    <row r="35" spans="1:6" x14ac:dyDescent="0.25">
      <c r="A35" s="5">
        <v>261</v>
      </c>
      <c r="B35" s="25">
        <v>39</v>
      </c>
      <c r="C35" s="8" t="s">
        <v>42</v>
      </c>
      <c r="D35" s="16">
        <f>5.5-112</f>
        <v>-106.5</v>
      </c>
      <c r="E35" s="16" t="s">
        <v>42</v>
      </c>
      <c r="F35" s="16">
        <v>215</v>
      </c>
    </row>
    <row r="36" spans="1:6" x14ac:dyDescent="0.25">
      <c r="A36" s="6" t="s">
        <v>589</v>
      </c>
      <c r="B36" s="24"/>
      <c r="C36" s="8"/>
      <c r="D36" s="15"/>
      <c r="E36" s="15"/>
      <c r="F36" s="15"/>
    </row>
    <row r="37" spans="1:6" x14ac:dyDescent="0.25">
      <c r="A37" s="7"/>
      <c r="B37" s="24"/>
      <c r="C37" s="8" t="s">
        <v>88</v>
      </c>
      <c r="D37" s="15"/>
      <c r="E37" s="15"/>
      <c r="F37" s="15"/>
    </row>
    <row r="38" spans="1:6" x14ac:dyDescent="0.25">
      <c r="A38" s="7"/>
      <c r="B38" s="24"/>
      <c r="C38" s="8"/>
      <c r="D38" s="15"/>
      <c r="E38" s="15"/>
      <c r="F38" s="15"/>
    </row>
    <row r="39" spans="1:6" x14ac:dyDescent="0.25">
      <c r="A39" s="7"/>
      <c r="B39" s="24"/>
      <c r="C39" s="8" t="s">
        <v>88</v>
      </c>
      <c r="D39" s="15"/>
      <c r="E39" s="15"/>
      <c r="F39" s="15"/>
    </row>
    <row r="40" spans="1:6" x14ac:dyDescent="0.25">
      <c r="A40" s="9">
        <v>262</v>
      </c>
      <c r="B40" s="26">
        <v>38</v>
      </c>
      <c r="C40" s="12">
        <f>-5.5-108</f>
        <v>-113.5</v>
      </c>
      <c r="D40" s="20">
        <f>-5.5-108</f>
        <v>-113.5</v>
      </c>
      <c r="E40" s="20" t="s">
        <v>44</v>
      </c>
      <c r="F40" s="20">
        <v>-258</v>
      </c>
    </row>
    <row r="41" spans="1:6" x14ac:dyDescent="0.25">
      <c r="A41" s="10" t="s">
        <v>590</v>
      </c>
      <c r="B41" s="26"/>
      <c r="C41" s="12"/>
      <c r="D41" s="20"/>
      <c r="E41" s="20"/>
      <c r="F41" s="20"/>
    </row>
    <row r="42" spans="1:6" x14ac:dyDescent="0.25">
      <c r="A42" s="11"/>
      <c r="B42" s="26"/>
      <c r="C42" s="12">
        <f>-5.5-108</f>
        <v>-113.5</v>
      </c>
      <c r="D42" s="20"/>
      <c r="E42" s="20"/>
      <c r="F42" s="20"/>
    </row>
    <row r="43" spans="1:6" x14ac:dyDescent="0.25">
      <c r="A43" s="11"/>
      <c r="B43" s="26"/>
      <c r="C43" s="12"/>
      <c r="D43" s="20"/>
      <c r="E43" s="20"/>
      <c r="F43" s="20"/>
    </row>
    <row r="44" spans="1:6" x14ac:dyDescent="0.25">
      <c r="A44" s="11"/>
      <c r="B44" s="26"/>
      <c r="C44" s="12">
        <f>-5.5-112</f>
        <v>-117.5</v>
      </c>
      <c r="D44" s="20"/>
      <c r="E44" s="20"/>
      <c r="F44" s="20"/>
    </row>
    <row r="45" spans="1:6" ht="37.5" x14ac:dyDescent="0.25">
      <c r="A45" s="22" t="s">
        <v>17</v>
      </c>
    </row>
    <row r="46" spans="1:6" ht="15.75" thickBot="1" x14ac:dyDescent="0.3">
      <c r="A46" s="3" t="s">
        <v>586</v>
      </c>
      <c r="B46" s="4"/>
      <c r="C46" s="4" t="s">
        <v>8</v>
      </c>
      <c r="D46" s="4" t="s">
        <v>9</v>
      </c>
      <c r="E46" s="4" t="s">
        <v>10</v>
      </c>
      <c r="F46" s="4" t="s">
        <v>11</v>
      </c>
    </row>
    <row r="47" spans="1:6" x14ac:dyDescent="0.25">
      <c r="A47" s="5">
        <v>267</v>
      </c>
      <c r="B47" s="25">
        <v>34</v>
      </c>
      <c r="C47" s="8" t="s">
        <v>195</v>
      </c>
      <c r="D47" s="16">
        <f>7-115</f>
        <v>-108</v>
      </c>
      <c r="E47" s="18" t="s">
        <v>188</v>
      </c>
      <c r="F47" s="16">
        <v>280</v>
      </c>
    </row>
    <row r="48" spans="1:6" x14ac:dyDescent="0.25">
      <c r="A48" s="6" t="s">
        <v>591</v>
      </c>
      <c r="B48" s="24"/>
      <c r="C48" s="8"/>
      <c r="D48" s="15"/>
      <c r="E48" s="17"/>
      <c r="F48" s="15"/>
    </row>
    <row r="49" spans="1:6" x14ac:dyDescent="0.25">
      <c r="A49" s="7"/>
      <c r="B49" s="24"/>
      <c r="C49" s="8" t="s">
        <v>305</v>
      </c>
      <c r="D49" s="15"/>
      <c r="E49" s="17"/>
      <c r="F49" s="15"/>
    </row>
    <row r="50" spans="1:6" x14ac:dyDescent="0.25">
      <c r="A50" s="7"/>
      <c r="B50" s="24"/>
      <c r="C50" s="8"/>
      <c r="D50" s="15"/>
      <c r="E50" s="17"/>
      <c r="F50" s="15"/>
    </row>
    <row r="51" spans="1:6" x14ac:dyDescent="0.25">
      <c r="A51" s="7"/>
      <c r="B51" s="24"/>
      <c r="C51" s="8" t="s">
        <v>305</v>
      </c>
      <c r="D51" s="15"/>
      <c r="E51" s="17"/>
      <c r="F51" s="15"/>
    </row>
    <row r="52" spans="1:6" x14ac:dyDescent="0.25">
      <c r="A52" s="9">
        <v>268</v>
      </c>
      <c r="B52" s="26">
        <v>10</v>
      </c>
      <c r="C52" s="12">
        <f>-7-105</f>
        <v>-112</v>
      </c>
      <c r="D52" s="20">
        <f>-7-105</f>
        <v>-112</v>
      </c>
      <c r="E52" s="21" t="s">
        <v>195</v>
      </c>
      <c r="F52" s="20">
        <v>-380</v>
      </c>
    </row>
    <row r="53" spans="1:6" x14ac:dyDescent="0.25">
      <c r="A53" s="10" t="s">
        <v>592</v>
      </c>
      <c r="B53" s="26"/>
      <c r="C53" s="12"/>
      <c r="D53" s="20"/>
      <c r="E53" s="21"/>
      <c r="F53" s="20"/>
    </row>
    <row r="54" spans="1:6" x14ac:dyDescent="0.25">
      <c r="A54" s="11"/>
      <c r="B54" s="26"/>
      <c r="C54" s="12">
        <f>-7-105</f>
        <v>-112</v>
      </c>
      <c r="D54" s="20"/>
      <c r="E54" s="21"/>
      <c r="F54" s="20"/>
    </row>
    <row r="55" spans="1:6" x14ac:dyDescent="0.25">
      <c r="A55" s="11"/>
      <c r="B55" s="26"/>
      <c r="C55" s="12"/>
      <c r="D55" s="20"/>
      <c r="E55" s="21"/>
      <c r="F55" s="20"/>
    </row>
    <row r="56" spans="1:6" x14ac:dyDescent="0.25">
      <c r="A56" s="11"/>
      <c r="B56" s="26"/>
      <c r="C56" s="12">
        <f>-7-112</f>
        <v>-119</v>
      </c>
      <c r="D56" s="20"/>
      <c r="E56" s="21"/>
      <c r="F56" s="20"/>
    </row>
    <row r="57" spans="1:6" ht="37.5" x14ac:dyDescent="0.25">
      <c r="A57" s="22" t="s">
        <v>17</v>
      </c>
    </row>
    <row r="58" spans="1:6" ht="15.75" thickBot="1" x14ac:dyDescent="0.3">
      <c r="A58" s="3" t="s">
        <v>586</v>
      </c>
      <c r="B58" s="4"/>
      <c r="C58" s="4" t="s">
        <v>8</v>
      </c>
      <c r="D58" s="4" t="s">
        <v>9</v>
      </c>
      <c r="E58" s="4" t="s">
        <v>10</v>
      </c>
      <c r="F58" s="4" t="s">
        <v>11</v>
      </c>
    </row>
    <row r="59" spans="1:6" x14ac:dyDescent="0.25">
      <c r="A59" s="5">
        <v>263</v>
      </c>
      <c r="B59" s="14">
        <v>15</v>
      </c>
      <c r="C59" s="8" t="s">
        <v>96</v>
      </c>
      <c r="D59" s="18">
        <f>2.5-102</f>
        <v>-99.5</v>
      </c>
      <c r="E59" s="18" t="s">
        <v>94</v>
      </c>
      <c r="F59" s="18">
        <v>130</v>
      </c>
    </row>
    <row r="60" spans="1:6" x14ac:dyDescent="0.25">
      <c r="A60" s="6" t="s">
        <v>593</v>
      </c>
      <c r="B60" s="13"/>
      <c r="C60" s="8"/>
      <c r="D60" s="17"/>
      <c r="E60" s="17"/>
      <c r="F60" s="17"/>
    </row>
    <row r="61" spans="1:6" x14ac:dyDescent="0.25">
      <c r="A61" s="7"/>
      <c r="B61" s="13"/>
      <c r="C61" s="8" t="s">
        <v>96</v>
      </c>
      <c r="D61" s="17"/>
      <c r="E61" s="17"/>
      <c r="F61" s="17"/>
    </row>
    <row r="62" spans="1:6" x14ac:dyDescent="0.25">
      <c r="A62" s="7"/>
      <c r="B62" s="13"/>
      <c r="C62" s="8"/>
      <c r="D62" s="17"/>
      <c r="E62" s="17"/>
      <c r="F62" s="17"/>
    </row>
    <row r="63" spans="1:6" x14ac:dyDescent="0.25">
      <c r="A63" s="7"/>
      <c r="B63" s="13"/>
      <c r="C63" s="8" t="s">
        <v>293</v>
      </c>
      <c r="D63" s="17"/>
      <c r="E63" s="17"/>
      <c r="F63" s="17"/>
    </row>
    <row r="64" spans="1:6" x14ac:dyDescent="0.25">
      <c r="A64" s="9">
        <v>264</v>
      </c>
      <c r="B64" s="19">
        <v>26</v>
      </c>
      <c r="C64" s="12">
        <f>-2.5-118</f>
        <v>-120.5</v>
      </c>
      <c r="D64" s="21">
        <f>-2.5-118</f>
        <v>-120.5</v>
      </c>
      <c r="E64" s="21" t="s">
        <v>96</v>
      </c>
      <c r="F64" s="21">
        <v>-155</v>
      </c>
    </row>
    <row r="65" spans="1:6" x14ac:dyDescent="0.25">
      <c r="A65" s="10" t="s">
        <v>594</v>
      </c>
      <c r="B65" s="19"/>
      <c r="C65" s="12"/>
      <c r="D65" s="21"/>
      <c r="E65" s="21"/>
      <c r="F65" s="21"/>
    </row>
    <row r="66" spans="1:6" x14ac:dyDescent="0.25">
      <c r="A66" s="11"/>
      <c r="B66" s="19"/>
      <c r="C66" s="12">
        <f>-2.5-118</f>
        <v>-120.5</v>
      </c>
      <c r="D66" s="21"/>
      <c r="E66" s="21"/>
      <c r="F66" s="21"/>
    </row>
    <row r="67" spans="1:6" x14ac:dyDescent="0.25">
      <c r="A67" s="11"/>
      <c r="B67" s="19"/>
      <c r="C67" s="12"/>
      <c r="D67" s="21"/>
      <c r="E67" s="21"/>
      <c r="F67" s="21"/>
    </row>
    <row r="68" spans="1:6" x14ac:dyDescent="0.25">
      <c r="A68" s="11"/>
      <c r="B68" s="19"/>
      <c r="C68" s="12">
        <f>-2.5-118</f>
        <v>-120.5</v>
      </c>
      <c r="D68" s="21"/>
      <c r="E68" s="21"/>
      <c r="F68" s="21"/>
    </row>
    <row r="69" spans="1:6" ht="37.5" x14ac:dyDescent="0.25">
      <c r="A69" s="22" t="s">
        <v>17</v>
      </c>
    </row>
    <row r="70" spans="1:6" ht="15.75" thickBot="1" x14ac:dyDescent="0.3">
      <c r="A70" s="3" t="s">
        <v>586</v>
      </c>
      <c r="B70" s="4"/>
      <c r="C70" s="4" t="s">
        <v>8</v>
      </c>
      <c r="D70" s="4" t="s">
        <v>9</v>
      </c>
      <c r="E70" s="4" t="s">
        <v>10</v>
      </c>
      <c r="F70" s="4" t="s">
        <v>11</v>
      </c>
    </row>
    <row r="71" spans="1:6" x14ac:dyDescent="0.25">
      <c r="A71" s="5">
        <v>271</v>
      </c>
      <c r="B71" s="14">
        <v>20</v>
      </c>
      <c r="C71" s="8" t="s">
        <v>596</v>
      </c>
      <c r="D71" s="18">
        <f>7-102</f>
        <v>-95</v>
      </c>
      <c r="E71" s="16" t="s">
        <v>596</v>
      </c>
      <c r="F71" s="18">
        <v>300</v>
      </c>
    </row>
    <row r="72" spans="1:6" x14ac:dyDescent="0.25">
      <c r="A72" s="6" t="s">
        <v>595</v>
      </c>
      <c r="B72" s="13"/>
      <c r="C72" s="8"/>
      <c r="D72" s="17"/>
      <c r="E72" s="15"/>
      <c r="F72" s="17"/>
    </row>
    <row r="73" spans="1:6" x14ac:dyDescent="0.25">
      <c r="A73" s="7"/>
      <c r="B73" s="13"/>
      <c r="C73" s="8" t="s">
        <v>40</v>
      </c>
      <c r="D73" s="17"/>
      <c r="E73" s="15"/>
      <c r="F73" s="17"/>
    </row>
    <row r="74" spans="1:6" x14ac:dyDescent="0.25">
      <c r="A74" s="7"/>
      <c r="B74" s="13"/>
      <c r="C74" s="8"/>
      <c r="D74" s="17"/>
      <c r="E74" s="15"/>
      <c r="F74" s="17"/>
    </row>
    <row r="75" spans="1:6" x14ac:dyDescent="0.25">
      <c r="A75" s="7"/>
      <c r="B75" s="13"/>
      <c r="C75" s="8" t="s">
        <v>195</v>
      </c>
      <c r="D75" s="17"/>
      <c r="E75" s="15"/>
      <c r="F75" s="17"/>
    </row>
    <row r="76" spans="1:6" x14ac:dyDescent="0.25">
      <c r="A76" s="9">
        <v>272</v>
      </c>
      <c r="B76" s="19">
        <v>38</v>
      </c>
      <c r="C76" s="12">
        <f>-7-118</f>
        <v>-125</v>
      </c>
      <c r="D76" s="21">
        <f>-7-118</f>
        <v>-125</v>
      </c>
      <c r="E76" s="20" t="s">
        <v>598</v>
      </c>
      <c r="F76" s="21">
        <v>-410</v>
      </c>
    </row>
    <row r="77" spans="1:6" x14ac:dyDescent="0.25">
      <c r="A77" s="10" t="s">
        <v>597</v>
      </c>
      <c r="B77" s="19"/>
      <c r="C77" s="12"/>
      <c r="D77" s="21"/>
      <c r="E77" s="20"/>
      <c r="F77" s="21"/>
    </row>
    <row r="78" spans="1:6" x14ac:dyDescent="0.25">
      <c r="A78" s="11"/>
      <c r="B78" s="19"/>
      <c r="C78" s="12">
        <f>-7-118</f>
        <v>-125</v>
      </c>
      <c r="D78" s="21"/>
      <c r="E78" s="20"/>
      <c r="F78" s="21"/>
    </row>
    <row r="79" spans="1:6" x14ac:dyDescent="0.25">
      <c r="A79" s="11"/>
      <c r="B79" s="19"/>
      <c r="C79" s="12"/>
      <c r="D79" s="21"/>
      <c r="E79" s="20"/>
      <c r="F79" s="21"/>
    </row>
    <row r="80" spans="1:6" x14ac:dyDescent="0.25">
      <c r="A80" s="11"/>
      <c r="B80" s="19"/>
      <c r="C80" s="12">
        <f>-7-118</f>
        <v>-125</v>
      </c>
      <c r="D80" s="21"/>
      <c r="E80" s="20"/>
      <c r="F80" s="21"/>
    </row>
    <row r="81" spans="1:6" ht="37.5" x14ac:dyDescent="0.25">
      <c r="A81" s="22" t="s">
        <v>17</v>
      </c>
    </row>
    <row r="82" spans="1:6" ht="15.75" thickBot="1" x14ac:dyDescent="0.3">
      <c r="A82" s="3" t="s">
        <v>586</v>
      </c>
      <c r="B82" s="4"/>
      <c r="C82" s="4" t="s">
        <v>8</v>
      </c>
      <c r="D82" s="4" t="s">
        <v>9</v>
      </c>
      <c r="E82" s="4" t="s">
        <v>10</v>
      </c>
      <c r="F82" s="4" t="s">
        <v>11</v>
      </c>
    </row>
    <row r="83" spans="1:6" x14ac:dyDescent="0.25">
      <c r="A83" s="5">
        <v>265</v>
      </c>
      <c r="B83" s="14">
        <v>16</v>
      </c>
      <c r="C83" s="8" t="s">
        <v>207</v>
      </c>
      <c r="D83" s="18">
        <f>2.5-102</f>
        <v>-99.5</v>
      </c>
      <c r="E83" s="16" t="s">
        <v>207</v>
      </c>
      <c r="F83" s="18">
        <v>124</v>
      </c>
    </row>
    <row r="84" spans="1:6" x14ac:dyDescent="0.25">
      <c r="A84" s="6" t="s">
        <v>599</v>
      </c>
      <c r="B84" s="13"/>
      <c r="C84" s="8"/>
      <c r="D84" s="17"/>
      <c r="E84" s="15"/>
      <c r="F84" s="17"/>
    </row>
    <row r="85" spans="1:6" x14ac:dyDescent="0.25">
      <c r="A85" s="7"/>
      <c r="B85" s="13"/>
      <c r="C85" s="8" t="s">
        <v>109</v>
      </c>
      <c r="D85" s="17"/>
      <c r="E85" s="15"/>
      <c r="F85" s="17"/>
    </row>
    <row r="86" spans="1:6" x14ac:dyDescent="0.25">
      <c r="A86" s="7"/>
      <c r="B86" s="13"/>
      <c r="C86" s="8"/>
      <c r="D86" s="17"/>
      <c r="E86" s="15"/>
      <c r="F86" s="17"/>
    </row>
    <row r="87" spans="1:6" x14ac:dyDescent="0.25">
      <c r="A87" s="7"/>
      <c r="B87" s="13"/>
      <c r="C87" s="8" t="s">
        <v>406</v>
      </c>
      <c r="D87" s="17"/>
      <c r="E87" s="15"/>
      <c r="F87" s="17"/>
    </row>
    <row r="88" spans="1:6" x14ac:dyDescent="0.25">
      <c r="A88" s="9">
        <v>266</v>
      </c>
      <c r="B88" s="19">
        <v>30</v>
      </c>
      <c r="C88" s="12">
        <f>-2.5-118</f>
        <v>-120.5</v>
      </c>
      <c r="D88" s="21">
        <f>-2.5-118</f>
        <v>-120.5</v>
      </c>
      <c r="E88" s="20" t="s">
        <v>209</v>
      </c>
      <c r="F88" s="21">
        <v>-148</v>
      </c>
    </row>
    <row r="89" spans="1:6" x14ac:dyDescent="0.25">
      <c r="A89" s="10" t="s">
        <v>600</v>
      </c>
      <c r="B89" s="19"/>
      <c r="C89" s="12"/>
      <c r="D89" s="21"/>
      <c r="E89" s="20"/>
      <c r="F89" s="21"/>
    </row>
    <row r="90" spans="1:6" x14ac:dyDescent="0.25">
      <c r="A90" s="11"/>
      <c r="B90" s="19"/>
      <c r="C90" s="12">
        <f>-2.5-118</f>
        <v>-120.5</v>
      </c>
      <c r="D90" s="21"/>
      <c r="E90" s="20"/>
      <c r="F90" s="21"/>
    </row>
    <row r="91" spans="1:6" x14ac:dyDescent="0.25">
      <c r="A91" s="11"/>
      <c r="B91" s="19"/>
      <c r="C91" s="12"/>
      <c r="D91" s="21"/>
      <c r="E91" s="20"/>
      <c r="F91" s="21"/>
    </row>
    <row r="92" spans="1:6" x14ac:dyDescent="0.25">
      <c r="A92" s="11"/>
      <c r="B92" s="19"/>
      <c r="C92" s="12">
        <f>-2.5-118</f>
        <v>-120.5</v>
      </c>
      <c r="D92" s="21"/>
      <c r="E92" s="20"/>
      <c r="F92" s="21"/>
    </row>
    <row r="93" spans="1:6" ht="37.5" x14ac:dyDescent="0.25">
      <c r="A93" s="22" t="s">
        <v>17</v>
      </c>
    </row>
    <row r="94" spans="1:6" ht="15.75" thickBot="1" x14ac:dyDescent="0.3">
      <c r="A94" s="3" t="s">
        <v>586</v>
      </c>
      <c r="B94" s="4"/>
      <c r="C94" s="4" t="s">
        <v>8</v>
      </c>
      <c r="D94" s="4" t="s">
        <v>9</v>
      </c>
      <c r="E94" s="4" t="s">
        <v>10</v>
      </c>
      <c r="F94" s="4" t="s">
        <v>11</v>
      </c>
    </row>
    <row r="95" spans="1:6" x14ac:dyDescent="0.25">
      <c r="A95" s="5">
        <v>269</v>
      </c>
      <c r="B95" s="25">
        <v>40</v>
      </c>
      <c r="C95" s="8">
        <f>-7-120</f>
        <v>-127</v>
      </c>
      <c r="D95" s="16">
        <f>-7-120</f>
        <v>-127</v>
      </c>
      <c r="E95" s="16" t="s">
        <v>24</v>
      </c>
      <c r="F95" s="16">
        <v>-395</v>
      </c>
    </row>
    <row r="96" spans="1:6" x14ac:dyDescent="0.25">
      <c r="A96" s="6" t="s">
        <v>601</v>
      </c>
      <c r="B96" s="24"/>
      <c r="C96" s="8"/>
      <c r="D96" s="15"/>
      <c r="E96" s="15"/>
      <c r="F96" s="15"/>
    </row>
    <row r="97" spans="1:6" x14ac:dyDescent="0.25">
      <c r="A97" s="7"/>
      <c r="B97" s="24"/>
      <c r="C97" s="8">
        <f>-7-120</f>
        <v>-127</v>
      </c>
      <c r="D97" s="15"/>
      <c r="E97" s="15"/>
      <c r="F97" s="15"/>
    </row>
    <row r="98" spans="1:6" x14ac:dyDescent="0.25">
      <c r="A98" s="7"/>
      <c r="B98" s="24"/>
      <c r="C98" s="8"/>
      <c r="D98" s="15"/>
      <c r="E98" s="15"/>
      <c r="F98" s="15"/>
    </row>
    <row r="99" spans="1:6" x14ac:dyDescent="0.25">
      <c r="A99" s="7"/>
      <c r="B99" s="24"/>
      <c r="C99" s="8">
        <f>-7-115</f>
        <v>-122</v>
      </c>
      <c r="D99" s="15"/>
      <c r="E99" s="15"/>
      <c r="F99" s="15"/>
    </row>
    <row r="100" spans="1:6" x14ac:dyDescent="0.25">
      <c r="A100" s="9">
        <v>270</v>
      </c>
      <c r="B100" s="26">
        <v>9</v>
      </c>
      <c r="C100" s="12" t="s">
        <v>24</v>
      </c>
      <c r="D100" s="20" t="s">
        <v>189</v>
      </c>
      <c r="E100" s="20" t="s">
        <v>497</v>
      </c>
      <c r="F100" s="20">
        <v>310</v>
      </c>
    </row>
    <row r="101" spans="1:6" x14ac:dyDescent="0.25">
      <c r="A101" s="10" t="s">
        <v>602</v>
      </c>
      <c r="B101" s="26"/>
      <c r="C101" s="12"/>
      <c r="D101" s="20"/>
      <c r="E101" s="20"/>
      <c r="F101" s="20"/>
    </row>
    <row r="102" spans="1:6" x14ac:dyDescent="0.25">
      <c r="A102" s="11"/>
      <c r="B102" s="26"/>
      <c r="C102" s="12" t="s">
        <v>486</v>
      </c>
      <c r="D102" s="20"/>
      <c r="E102" s="20"/>
      <c r="F102" s="20"/>
    </row>
    <row r="103" spans="1:6" x14ac:dyDescent="0.25">
      <c r="A103" s="11"/>
      <c r="B103" s="26"/>
      <c r="C103" s="12"/>
      <c r="D103" s="20"/>
      <c r="E103" s="20"/>
      <c r="F103" s="20"/>
    </row>
    <row r="104" spans="1:6" x14ac:dyDescent="0.25">
      <c r="A104" s="11"/>
      <c r="B104" s="26"/>
      <c r="C104" s="12" t="s">
        <v>486</v>
      </c>
      <c r="D104" s="20"/>
      <c r="E104" s="20"/>
      <c r="F104" s="20"/>
    </row>
    <row r="105" spans="1:6" ht="37.5" x14ac:dyDescent="0.25">
      <c r="A105" s="22" t="s">
        <v>17</v>
      </c>
    </row>
    <row r="106" spans="1:6" ht="15.75" thickBot="1" x14ac:dyDescent="0.3">
      <c r="A106" s="3" t="s">
        <v>603</v>
      </c>
      <c r="B106" s="4"/>
      <c r="C106" s="4" t="s">
        <v>8</v>
      </c>
      <c r="D106" s="4" t="s">
        <v>9</v>
      </c>
      <c r="E106" s="4" t="s">
        <v>10</v>
      </c>
      <c r="F106" s="4" t="s">
        <v>11</v>
      </c>
    </row>
    <row r="107" spans="1:6" x14ac:dyDescent="0.25">
      <c r="A107" s="5">
        <v>275</v>
      </c>
      <c r="B107" s="25">
        <v>23</v>
      </c>
      <c r="C107" s="8">
        <f>-4.5-105</f>
        <v>-109.5</v>
      </c>
      <c r="D107" s="16">
        <f>-4.5-105</f>
        <v>-109.5</v>
      </c>
      <c r="E107" s="18" t="s">
        <v>51</v>
      </c>
      <c r="F107" s="16">
        <v>-218</v>
      </c>
    </row>
    <row r="108" spans="1:6" x14ac:dyDescent="0.25">
      <c r="A108" s="6" t="s">
        <v>604</v>
      </c>
      <c r="B108" s="24"/>
      <c r="C108" s="8"/>
      <c r="D108" s="15"/>
      <c r="E108" s="17"/>
      <c r="F108" s="15"/>
    </row>
    <row r="109" spans="1:6" x14ac:dyDescent="0.25">
      <c r="A109" s="7"/>
      <c r="B109" s="24"/>
      <c r="C109" s="8">
        <f>-4.5-108</f>
        <v>-112.5</v>
      </c>
      <c r="D109" s="15"/>
      <c r="E109" s="17"/>
      <c r="F109" s="15"/>
    </row>
    <row r="110" spans="1:6" x14ac:dyDescent="0.25">
      <c r="A110" s="7"/>
      <c r="B110" s="24"/>
      <c r="C110" s="8"/>
      <c r="D110" s="15"/>
      <c r="E110" s="17"/>
      <c r="F110" s="15"/>
    </row>
    <row r="111" spans="1:6" x14ac:dyDescent="0.25">
      <c r="A111" s="7"/>
      <c r="B111" s="24"/>
      <c r="C111" s="8">
        <f>-3.5-118</f>
        <v>-121.5</v>
      </c>
      <c r="D111" s="15"/>
      <c r="E111" s="17"/>
      <c r="F111" s="15"/>
    </row>
    <row r="112" spans="1:6" x14ac:dyDescent="0.25">
      <c r="A112" s="9">
        <v>276</v>
      </c>
      <c r="B112" s="26">
        <v>3</v>
      </c>
      <c r="C112" s="12" t="s">
        <v>53</v>
      </c>
      <c r="D112" s="20">
        <f>4.5-115</f>
        <v>-110.5</v>
      </c>
      <c r="E112" s="21" t="s">
        <v>53</v>
      </c>
      <c r="F112" s="20">
        <v>180</v>
      </c>
    </row>
    <row r="113" spans="1:6" x14ac:dyDescent="0.25">
      <c r="A113" s="10" t="s">
        <v>605</v>
      </c>
      <c r="B113" s="26"/>
      <c r="C113" s="12"/>
      <c r="D113" s="20"/>
      <c r="E113" s="21"/>
      <c r="F113" s="20"/>
    </row>
    <row r="114" spans="1:6" x14ac:dyDescent="0.25">
      <c r="A114" s="11"/>
      <c r="B114" s="26"/>
      <c r="C114" s="12" t="s">
        <v>53</v>
      </c>
      <c r="D114" s="20"/>
      <c r="E114" s="21"/>
      <c r="F114" s="20"/>
    </row>
    <row r="115" spans="1:6" x14ac:dyDescent="0.25">
      <c r="A115" s="11"/>
      <c r="B115" s="26"/>
      <c r="C115" s="12"/>
      <c r="D115" s="20"/>
      <c r="E115" s="21"/>
      <c r="F115" s="20"/>
    </row>
    <row r="116" spans="1:6" x14ac:dyDescent="0.25">
      <c r="A116" s="11"/>
      <c r="B116" s="26"/>
      <c r="C116" s="12" t="s">
        <v>53</v>
      </c>
      <c r="D116" s="20"/>
      <c r="E116" s="21"/>
      <c r="F116" s="20"/>
    </row>
    <row r="117" spans="1:6" ht="37.5" x14ac:dyDescent="0.25">
      <c r="A117" s="22" t="s">
        <v>17</v>
      </c>
    </row>
    <row r="118" spans="1:6" ht="15.75" thickBot="1" x14ac:dyDescent="0.3">
      <c r="A118" s="3" t="s">
        <v>606</v>
      </c>
      <c r="B118" s="4"/>
      <c r="C118" s="4" t="s">
        <v>8</v>
      </c>
      <c r="D118" s="4" t="s">
        <v>9</v>
      </c>
      <c r="E118" s="4" t="s">
        <v>10</v>
      </c>
      <c r="F118" s="4" t="s">
        <v>11</v>
      </c>
    </row>
    <row r="119" spans="1:6" x14ac:dyDescent="0.25">
      <c r="A119" s="5">
        <v>279</v>
      </c>
      <c r="B119" s="14">
        <v>24</v>
      </c>
      <c r="C119" s="8" t="s">
        <v>608</v>
      </c>
      <c r="D119" s="18">
        <f>3.5-105</f>
        <v>-101.5</v>
      </c>
      <c r="E119" s="16" t="s">
        <v>608</v>
      </c>
      <c r="F119" s="18">
        <v>160</v>
      </c>
    </row>
    <row r="120" spans="1:6" x14ac:dyDescent="0.25">
      <c r="A120" s="6" t="s">
        <v>607</v>
      </c>
      <c r="B120" s="13"/>
      <c r="C120" s="8"/>
      <c r="D120" s="17"/>
      <c r="E120" s="15"/>
      <c r="F120" s="17"/>
    </row>
    <row r="121" spans="1:6" x14ac:dyDescent="0.25">
      <c r="A121" s="7"/>
      <c r="B121" s="13"/>
      <c r="C121" s="8" t="s">
        <v>608</v>
      </c>
      <c r="D121" s="17"/>
      <c r="E121" s="15"/>
      <c r="F121" s="17"/>
    </row>
    <row r="122" spans="1:6" x14ac:dyDescent="0.25">
      <c r="A122" s="7"/>
      <c r="B122" s="13"/>
      <c r="C122" s="8"/>
      <c r="D122" s="17"/>
      <c r="E122" s="15"/>
      <c r="F122" s="17"/>
    </row>
    <row r="123" spans="1:6" x14ac:dyDescent="0.25">
      <c r="A123" s="7"/>
      <c r="B123" s="13"/>
      <c r="C123" s="8" t="s">
        <v>608</v>
      </c>
      <c r="D123" s="17"/>
      <c r="E123" s="15"/>
      <c r="F123" s="17"/>
    </row>
    <row r="124" spans="1:6" x14ac:dyDescent="0.25">
      <c r="A124" s="9">
        <v>280</v>
      </c>
      <c r="B124" s="19">
        <v>44</v>
      </c>
      <c r="C124" s="12">
        <f>-3.5-110</f>
        <v>-113.5</v>
      </c>
      <c r="D124" s="21">
        <f>-3.5-115</f>
        <v>-118.5</v>
      </c>
      <c r="E124" s="20" t="s">
        <v>610</v>
      </c>
      <c r="F124" s="21">
        <v>-198</v>
      </c>
    </row>
    <row r="125" spans="1:6" x14ac:dyDescent="0.25">
      <c r="A125" s="10" t="s">
        <v>609</v>
      </c>
      <c r="B125" s="19"/>
      <c r="C125" s="12"/>
      <c r="D125" s="21"/>
      <c r="E125" s="20"/>
      <c r="F125" s="21"/>
    </row>
    <row r="126" spans="1:6" x14ac:dyDescent="0.25">
      <c r="A126" s="11"/>
      <c r="B126" s="19"/>
      <c r="C126" s="12">
        <f>-3.5-105</f>
        <v>-108.5</v>
      </c>
      <c r="D126" s="21"/>
      <c r="E126" s="20"/>
      <c r="F126" s="21"/>
    </row>
    <row r="127" spans="1:6" x14ac:dyDescent="0.25">
      <c r="A127" s="11"/>
      <c r="B127" s="19"/>
      <c r="C127" s="12"/>
      <c r="D127" s="21"/>
      <c r="E127" s="20"/>
      <c r="F127" s="21"/>
    </row>
    <row r="128" spans="1:6" x14ac:dyDescent="0.25">
      <c r="A128" s="11"/>
      <c r="B128" s="19"/>
      <c r="C128" s="12">
        <f>-3.5-105</f>
        <v>-108.5</v>
      </c>
      <c r="D128" s="21"/>
      <c r="E128" s="20"/>
      <c r="F128" s="21"/>
    </row>
    <row r="129" spans="1:6" ht="37.5" x14ac:dyDescent="0.25">
      <c r="A129" s="22" t="s">
        <v>17</v>
      </c>
    </row>
    <row r="130" spans="1:6" ht="15.75" thickBot="1" x14ac:dyDescent="0.3">
      <c r="A130" s="3" t="s">
        <v>606</v>
      </c>
      <c r="B130" s="4"/>
      <c r="C130" s="4" t="s">
        <v>8</v>
      </c>
      <c r="D130" s="4" t="s">
        <v>9</v>
      </c>
      <c r="E130" s="4" t="s">
        <v>10</v>
      </c>
      <c r="F130" s="4" t="s">
        <v>11</v>
      </c>
    </row>
    <row r="131" spans="1:6" x14ac:dyDescent="0.25">
      <c r="A131" s="5">
        <v>277</v>
      </c>
      <c r="B131" s="14">
        <v>14</v>
      </c>
      <c r="C131" s="8" t="s">
        <v>371</v>
      </c>
      <c r="D131" s="18">
        <f>14.5-105</f>
        <v>-90.5</v>
      </c>
      <c r="E131" s="16" t="s">
        <v>177</v>
      </c>
      <c r="F131" s="18">
        <v>900</v>
      </c>
    </row>
    <row r="132" spans="1:6" x14ac:dyDescent="0.25">
      <c r="A132" s="6" t="s">
        <v>611</v>
      </c>
      <c r="B132" s="13"/>
      <c r="C132" s="8"/>
      <c r="D132" s="17"/>
      <c r="E132" s="15"/>
      <c r="F132" s="17"/>
    </row>
    <row r="133" spans="1:6" x14ac:dyDescent="0.25">
      <c r="A133" s="7"/>
      <c r="B133" s="13"/>
      <c r="C133" s="8" t="s">
        <v>371</v>
      </c>
      <c r="D133" s="17"/>
      <c r="E133" s="15"/>
      <c r="F133" s="17"/>
    </row>
    <row r="134" spans="1:6" x14ac:dyDescent="0.25">
      <c r="A134" s="7"/>
      <c r="B134" s="13"/>
      <c r="C134" s="8"/>
      <c r="D134" s="17"/>
      <c r="E134" s="15"/>
      <c r="F134" s="17"/>
    </row>
    <row r="135" spans="1:6" x14ac:dyDescent="0.25">
      <c r="A135" s="7"/>
      <c r="B135" s="13"/>
      <c r="C135" s="8" t="s">
        <v>371</v>
      </c>
      <c r="D135" s="17"/>
      <c r="E135" s="15"/>
      <c r="F135" s="17"/>
    </row>
    <row r="136" spans="1:6" x14ac:dyDescent="0.25">
      <c r="A136" s="9">
        <v>278</v>
      </c>
      <c r="B136" s="19">
        <v>38</v>
      </c>
      <c r="C136" s="12">
        <f>-15.5-105</f>
        <v>-120.5</v>
      </c>
      <c r="D136" s="21">
        <f>-14.5-115</f>
        <v>-129.5</v>
      </c>
      <c r="E136" s="20" t="s">
        <v>497</v>
      </c>
      <c r="F136" s="21">
        <v>-1600</v>
      </c>
    </row>
    <row r="137" spans="1:6" x14ac:dyDescent="0.25">
      <c r="A137" s="10" t="s">
        <v>612</v>
      </c>
      <c r="B137" s="19"/>
      <c r="C137" s="12"/>
      <c r="D137" s="21"/>
      <c r="E137" s="20"/>
      <c r="F137" s="21"/>
    </row>
    <row r="138" spans="1:6" x14ac:dyDescent="0.25">
      <c r="A138" s="11"/>
      <c r="B138" s="19"/>
      <c r="C138" s="12">
        <f>-14.5-115</f>
        <v>-129.5</v>
      </c>
      <c r="D138" s="21"/>
      <c r="E138" s="20"/>
      <c r="F138" s="21"/>
    </row>
    <row r="139" spans="1:6" x14ac:dyDescent="0.25">
      <c r="A139" s="11"/>
      <c r="B139" s="19"/>
      <c r="C139" s="12"/>
      <c r="D139" s="21"/>
      <c r="E139" s="20"/>
      <c r="F139" s="21"/>
    </row>
    <row r="140" spans="1:6" x14ac:dyDescent="0.25">
      <c r="A140" s="11"/>
      <c r="B140" s="19"/>
      <c r="C140" s="12">
        <f>-15.5-105</f>
        <v>-120.5</v>
      </c>
      <c r="D140" s="21"/>
      <c r="E140" s="20"/>
      <c r="F140" s="21"/>
    </row>
    <row r="141" spans="1:6" ht="37.5" x14ac:dyDescent="0.25">
      <c r="A141" s="22" t="s">
        <v>17</v>
      </c>
    </row>
    <row r="142" spans="1:6" ht="15.75" thickBot="1" x14ac:dyDescent="0.3">
      <c r="A142" s="3" t="s">
        <v>613</v>
      </c>
      <c r="B142" s="4"/>
      <c r="C142" s="4" t="s">
        <v>8</v>
      </c>
      <c r="D142" s="4" t="s">
        <v>9</v>
      </c>
      <c r="E142" s="4" t="s">
        <v>10</v>
      </c>
      <c r="F142" s="4" t="s">
        <v>11</v>
      </c>
    </row>
    <row r="143" spans="1:6" x14ac:dyDescent="0.25">
      <c r="A143" s="5">
        <v>281</v>
      </c>
      <c r="B143" s="25">
        <v>35</v>
      </c>
      <c r="C143" s="8">
        <f>-3-102</f>
        <v>-105</v>
      </c>
      <c r="D143" s="16">
        <f>-3-102</f>
        <v>-105</v>
      </c>
      <c r="E143" s="16" t="s">
        <v>615</v>
      </c>
      <c r="F143" s="16">
        <v>-155</v>
      </c>
    </row>
    <row r="144" spans="1:6" x14ac:dyDescent="0.25">
      <c r="A144" s="6" t="s">
        <v>614</v>
      </c>
      <c r="B144" s="24"/>
      <c r="C144" s="8"/>
      <c r="D144" s="15"/>
      <c r="E144" s="15"/>
      <c r="F144" s="15"/>
    </row>
    <row r="145" spans="1:6" x14ac:dyDescent="0.25">
      <c r="A145" s="7"/>
      <c r="B145" s="24"/>
      <c r="C145" s="8">
        <f>-3-102</f>
        <v>-105</v>
      </c>
      <c r="D145" s="15"/>
      <c r="E145" s="15"/>
      <c r="F145" s="15"/>
    </row>
    <row r="146" spans="1:6" x14ac:dyDescent="0.25">
      <c r="A146" s="7"/>
      <c r="B146" s="24"/>
      <c r="C146" s="8"/>
      <c r="D146" s="15"/>
      <c r="E146" s="15"/>
      <c r="F146" s="15"/>
    </row>
    <row r="147" spans="1:6" x14ac:dyDescent="0.25">
      <c r="A147" s="7"/>
      <c r="B147" s="24"/>
      <c r="C147" s="8">
        <f>-2.5-118</f>
        <v>-120.5</v>
      </c>
      <c r="D147" s="15"/>
      <c r="E147" s="15"/>
      <c r="F147" s="15"/>
    </row>
    <row r="148" spans="1:6" x14ac:dyDescent="0.25">
      <c r="A148" s="9">
        <v>282</v>
      </c>
      <c r="B148" s="26">
        <v>25</v>
      </c>
      <c r="C148" s="12" t="s">
        <v>615</v>
      </c>
      <c r="D148" s="20">
        <f>3-118</f>
        <v>-115</v>
      </c>
      <c r="E148" s="20" t="s">
        <v>259</v>
      </c>
      <c r="F148" s="20">
        <v>130</v>
      </c>
    </row>
    <row r="149" spans="1:6" x14ac:dyDescent="0.25">
      <c r="A149" s="10" t="s">
        <v>616</v>
      </c>
      <c r="B149" s="26"/>
      <c r="C149" s="12"/>
      <c r="D149" s="20"/>
      <c r="E149" s="20"/>
      <c r="F149" s="20"/>
    </row>
    <row r="150" spans="1:6" x14ac:dyDescent="0.25">
      <c r="A150" s="11"/>
      <c r="B150" s="26"/>
      <c r="C150" s="12" t="s">
        <v>617</v>
      </c>
      <c r="D150" s="20"/>
      <c r="E150" s="20"/>
      <c r="F150" s="20"/>
    </row>
    <row r="151" spans="1:6" x14ac:dyDescent="0.25">
      <c r="A151" s="11"/>
      <c r="B151" s="26"/>
      <c r="C151" s="12"/>
      <c r="D151" s="20"/>
      <c r="E151" s="20"/>
      <c r="F151" s="20"/>
    </row>
    <row r="152" spans="1:6" x14ac:dyDescent="0.25">
      <c r="A152" s="11"/>
      <c r="B152" s="26"/>
      <c r="C152" s="12" t="s">
        <v>617</v>
      </c>
      <c r="D152" s="20"/>
      <c r="E152" s="20"/>
      <c r="F152" s="20"/>
    </row>
    <row r="153" spans="1:6" ht="38.25" thickBot="1" x14ac:dyDescent="0.3">
      <c r="A153" s="22" t="s">
        <v>17</v>
      </c>
    </row>
    <row r="154" spans="1:6" ht="56.25" x14ac:dyDescent="0.25">
      <c r="A154" s="27" t="s">
        <v>174</v>
      </c>
    </row>
    <row r="155" spans="1:6" ht="15.75" thickBot="1" x14ac:dyDescent="0.3">
      <c r="A155" s="3" t="s">
        <v>618</v>
      </c>
      <c r="B155" s="4"/>
      <c r="C155" s="4" t="s">
        <v>8</v>
      </c>
      <c r="D155" s="4" t="s">
        <v>9</v>
      </c>
      <c r="E155" s="4" t="s">
        <v>10</v>
      </c>
      <c r="F155" s="4" t="s">
        <v>11</v>
      </c>
    </row>
    <row r="156" spans="1:6" x14ac:dyDescent="0.25">
      <c r="A156" s="5">
        <v>283</v>
      </c>
      <c r="B156" s="14">
        <v>7</v>
      </c>
      <c r="C156" s="8" t="s">
        <v>497</v>
      </c>
      <c r="D156" s="18">
        <f>10-115</f>
        <v>-105</v>
      </c>
      <c r="E156" s="18" t="s">
        <v>24</v>
      </c>
      <c r="F156" s="18">
        <v>410</v>
      </c>
    </row>
    <row r="157" spans="1:6" x14ac:dyDescent="0.25">
      <c r="A157" s="6" t="s">
        <v>619</v>
      </c>
      <c r="B157" s="13"/>
      <c r="C157" s="8"/>
      <c r="D157" s="17"/>
      <c r="E157" s="17"/>
      <c r="F157" s="17"/>
    </row>
    <row r="158" spans="1:6" x14ac:dyDescent="0.25">
      <c r="A158" s="7"/>
      <c r="B158" s="13"/>
      <c r="C158" s="8" t="s">
        <v>244</v>
      </c>
      <c r="D158" s="17"/>
      <c r="E158" s="17"/>
      <c r="F158" s="17"/>
    </row>
    <row r="159" spans="1:6" x14ac:dyDescent="0.25">
      <c r="A159" s="7"/>
      <c r="B159" s="13"/>
      <c r="C159" s="8"/>
      <c r="D159" s="17"/>
      <c r="E159" s="17"/>
      <c r="F159" s="17"/>
    </row>
    <row r="160" spans="1:6" x14ac:dyDescent="0.25">
      <c r="A160" s="7"/>
      <c r="B160" s="13"/>
      <c r="C160" s="8" t="s">
        <v>244</v>
      </c>
      <c r="D160" s="17"/>
      <c r="E160" s="17"/>
      <c r="F160" s="17"/>
    </row>
    <row r="161" spans="1:6" x14ac:dyDescent="0.25">
      <c r="A161" s="9">
        <v>284</v>
      </c>
      <c r="B161" s="19">
        <v>28</v>
      </c>
      <c r="C161" s="12">
        <f>-10.5-115</f>
        <v>-125.5</v>
      </c>
      <c r="D161" s="21">
        <f>-10-105</f>
        <v>-115</v>
      </c>
      <c r="E161" s="21" t="s">
        <v>497</v>
      </c>
      <c r="F161" s="21">
        <v>-550</v>
      </c>
    </row>
    <row r="162" spans="1:6" x14ac:dyDescent="0.25">
      <c r="A162" s="10" t="s">
        <v>620</v>
      </c>
      <c r="B162" s="19"/>
      <c r="C162" s="12"/>
      <c r="D162" s="21"/>
      <c r="E162" s="21"/>
      <c r="F162" s="21"/>
    </row>
    <row r="163" spans="1:6" x14ac:dyDescent="0.25">
      <c r="A163" s="11"/>
      <c r="B163" s="19"/>
      <c r="C163" s="12">
        <f>-10.5-115</f>
        <v>-125.5</v>
      </c>
      <c r="D163" s="21"/>
      <c r="E163" s="21"/>
      <c r="F163" s="21"/>
    </row>
    <row r="164" spans="1:6" x14ac:dyDescent="0.25">
      <c r="A164" s="11"/>
      <c r="B164" s="19"/>
      <c r="C164" s="12"/>
      <c r="D164" s="21"/>
      <c r="E164" s="21"/>
      <c r="F164" s="21"/>
    </row>
    <row r="165" spans="1:6" x14ac:dyDescent="0.25">
      <c r="A165" s="11"/>
      <c r="B165" s="19"/>
      <c r="C165" s="12">
        <f>-10.5-110</f>
        <v>-120.5</v>
      </c>
      <c r="D165" s="21"/>
      <c r="E165" s="21"/>
      <c r="F165" s="21"/>
    </row>
  </sheetData>
  <mergeCells count="104">
    <mergeCell ref="B156:B160"/>
    <mergeCell ref="D156:D160"/>
    <mergeCell ref="E156:E160"/>
    <mergeCell ref="F156:F160"/>
    <mergeCell ref="B161:B165"/>
    <mergeCell ref="D161:D165"/>
    <mergeCell ref="E161:E165"/>
    <mergeCell ref="F161:F165"/>
    <mergeCell ref="B143:B147"/>
    <mergeCell ref="D143:D147"/>
    <mergeCell ref="E143:E147"/>
    <mergeCell ref="F143:F147"/>
    <mergeCell ref="B148:B152"/>
    <mergeCell ref="D148:D152"/>
    <mergeCell ref="E148:E152"/>
    <mergeCell ref="F148:F152"/>
    <mergeCell ref="B131:B135"/>
    <mergeCell ref="D131:D135"/>
    <mergeCell ref="E131:E135"/>
    <mergeCell ref="F131:F135"/>
    <mergeCell ref="B136:B140"/>
    <mergeCell ref="D136:D140"/>
    <mergeCell ref="E136:E140"/>
    <mergeCell ref="F136:F140"/>
    <mergeCell ref="B119:B123"/>
    <mergeCell ref="D119:D123"/>
    <mergeCell ref="E119:E123"/>
    <mergeCell ref="F119:F123"/>
    <mergeCell ref="B124:B128"/>
    <mergeCell ref="D124:D128"/>
    <mergeCell ref="E124:E128"/>
    <mergeCell ref="F124:F128"/>
    <mergeCell ref="B107:B111"/>
    <mergeCell ref="D107:D111"/>
    <mergeCell ref="E107:E111"/>
    <mergeCell ref="F107:F111"/>
    <mergeCell ref="B112:B116"/>
    <mergeCell ref="D112:D116"/>
    <mergeCell ref="E112:E116"/>
    <mergeCell ref="F112:F116"/>
    <mergeCell ref="B95:B99"/>
    <mergeCell ref="D95:D99"/>
    <mergeCell ref="E95:E99"/>
    <mergeCell ref="F95:F99"/>
    <mergeCell ref="B100:B104"/>
    <mergeCell ref="D100:D104"/>
    <mergeCell ref="E100:E104"/>
    <mergeCell ref="F100:F104"/>
    <mergeCell ref="B83:B87"/>
    <mergeCell ref="D83:D87"/>
    <mergeCell ref="E83:E87"/>
    <mergeCell ref="F83:F87"/>
    <mergeCell ref="B88:B92"/>
    <mergeCell ref="D88:D92"/>
    <mergeCell ref="E88:E92"/>
    <mergeCell ref="F88:F92"/>
    <mergeCell ref="B71:B75"/>
    <mergeCell ref="D71:D75"/>
    <mergeCell ref="E71:E75"/>
    <mergeCell ref="F71:F75"/>
    <mergeCell ref="B76:B80"/>
    <mergeCell ref="D76:D80"/>
    <mergeCell ref="E76:E80"/>
    <mergeCell ref="F76:F80"/>
    <mergeCell ref="B59:B63"/>
    <mergeCell ref="D59:D63"/>
    <mergeCell ref="E59:E63"/>
    <mergeCell ref="F59:F63"/>
    <mergeCell ref="B64:B68"/>
    <mergeCell ref="D64:D68"/>
    <mergeCell ref="E64:E68"/>
    <mergeCell ref="F64:F68"/>
    <mergeCell ref="B47:B51"/>
    <mergeCell ref="D47:D51"/>
    <mergeCell ref="E47:E51"/>
    <mergeCell ref="F47:F51"/>
    <mergeCell ref="B52:B56"/>
    <mergeCell ref="D52:D56"/>
    <mergeCell ref="E52:E56"/>
    <mergeCell ref="F52:F56"/>
    <mergeCell ref="B35:B39"/>
    <mergeCell ref="D35:D39"/>
    <mergeCell ref="E35:E39"/>
    <mergeCell ref="F35:F39"/>
    <mergeCell ref="B40:B44"/>
    <mergeCell ref="D40:D44"/>
    <mergeCell ref="E40:E44"/>
    <mergeCell ref="F40:F44"/>
    <mergeCell ref="B23:B27"/>
    <mergeCell ref="D23:D27"/>
    <mergeCell ref="E23:E27"/>
    <mergeCell ref="F23:F27"/>
    <mergeCell ref="B28:B32"/>
    <mergeCell ref="D28:D32"/>
    <mergeCell ref="E28:E32"/>
    <mergeCell ref="F28:F32"/>
    <mergeCell ref="B9:B13"/>
    <mergeCell ref="D9:D13"/>
    <mergeCell ref="E9:E13"/>
    <mergeCell ref="F9:F13"/>
    <mergeCell ref="B14:B18"/>
    <mergeCell ref="D14:D18"/>
    <mergeCell ref="E14:E18"/>
    <mergeCell ref="F14:F18"/>
  </mergeCells>
  <hyperlinks>
    <hyperlink ref="A2" r:id="rId1" display="https://www.scoresandodds.com/nfl/odds" xr:uid="{3DA2847D-FF05-4CC9-A6FD-459AF1BE9C72}"/>
    <hyperlink ref="A3" r:id="rId2" display="https://www.scoresandodds.com/nfl/consensus-picks" xr:uid="{5395EB83-1E8C-4687-8738-51CCAE507D55}"/>
    <hyperlink ref="A4" r:id="rId3" display="https://www.scoresandodds.com/nfl/more-lines" xr:uid="{824A8CC7-9D0B-498F-AF75-2D9963D4ECD7}"/>
    <hyperlink ref="A5" r:id="rId4" display="https://www.scoresandodds.com/nfl/props" xr:uid="{65B4B312-A4FD-4243-9923-0E28F7B23AAE}"/>
    <hyperlink ref="A6" r:id="rId5" display="https://www.scoresandodds.com/nfl/parlays" xr:uid="{F484BC0C-1363-4FE3-A984-2F5D1F0AAA78}"/>
    <hyperlink ref="A7" r:id="rId6" display="https://www.scoresandodds.com/nfl/picks" xr:uid="{10F5CBE0-A034-4E2B-8C35-93ED9A44D71D}"/>
    <hyperlink ref="A10" r:id="rId7" display="https://www.scoresandodds.com/nfl/teams/vikings" xr:uid="{2E36BFA1-ED70-4C8E-9395-56D4F9415E3E}"/>
    <hyperlink ref="A15" r:id="rId8" display="https://www.scoresandodds.com/nfl/teams/chargers" xr:uid="{00D039B3-6CD6-495F-B874-F3B4A37DCD20}"/>
    <hyperlink ref="A24" r:id="rId9" display="https://www.scoresandodds.com/nfl/teams/browns" xr:uid="{E54D0E0E-CDCE-4FAD-B73A-E76B3458CCE4}"/>
    <hyperlink ref="A29" r:id="rId10" display="https://www.scoresandodds.com/nfl/teams/patriots" xr:uid="{3D661113-7DE1-4D04-8A58-9799D22FB06B}"/>
    <hyperlink ref="A36" r:id="rId11" display="https://www.scoresandodds.com/nfl/teams/jets" xr:uid="{8B0F8898-67BE-4D46-94E7-6663A76BB5E5}"/>
    <hyperlink ref="A41" r:id="rId12" display="https://www.scoresandodds.com/nfl/teams/bengals" xr:uid="{ABD189EA-71CA-485A-A95B-7458DACA7F76}"/>
    <hyperlink ref="A48" r:id="rId13" display="https://www.scoresandodds.com/nfl/teams/dolphins" xr:uid="{09C5496F-1F9F-4818-B544-3726C59A7DEE}"/>
    <hyperlink ref="A53" r:id="rId14" display="https://www.scoresandodds.com/nfl/teams/falcons" xr:uid="{52F9677D-4C43-4661-ACCE-46ABB3BCC69B}"/>
    <hyperlink ref="A60" r:id="rId15" display="https://www.scoresandodds.com/nfl/teams/49ers" xr:uid="{55616C97-F99F-430E-97F0-7B27FCA910C9}"/>
    <hyperlink ref="A65" r:id="rId16" display="https://www.scoresandodds.com/nfl/teams/texans" xr:uid="{54DD45F4-172E-4298-AD29-8C37B8C7EDE1}"/>
    <hyperlink ref="A72" r:id="rId17" display="https://www.scoresandodds.com/nfl/teams/giants" xr:uid="{916BAAB7-F8A6-4791-BE87-1DD7F8E2EDE1}"/>
    <hyperlink ref="A77" r:id="rId18" display="https://www.scoresandodds.com/nfl/teams/eagles" xr:uid="{B82ED472-D105-45E9-BF9D-DDC88D9D17A7}"/>
    <hyperlink ref="A84" r:id="rId19" display="https://www.scoresandodds.com/nfl/teams/bears" xr:uid="{BDAA6345-F836-472F-8654-85251F6310AF}"/>
    <hyperlink ref="A89" r:id="rId20" display="https://www.scoresandodds.com/nfl/teams/ravens" xr:uid="{605A5583-B918-4D5A-9936-5B871E44A084}"/>
    <hyperlink ref="A96" r:id="rId21" display="https://www.scoresandodds.com/nfl/teams/bills" xr:uid="{67D4B99C-F9DD-4743-8EF0-45F916556F7B}"/>
    <hyperlink ref="A101" r:id="rId22" display="https://www.scoresandodds.com/nfl/teams/panthers" xr:uid="{5AB5190B-6675-46D9-9E66-C145EBDF59CB}"/>
    <hyperlink ref="A108" r:id="rId23" display="https://www.scoresandodds.com/nfl/teams/buccaneers" xr:uid="{54C98C30-8804-4253-BA30-1367CE4B9B18}"/>
    <hyperlink ref="A113" r:id="rId24" display="https://www.scoresandodds.com/nfl/teams/saints" xr:uid="{79DE270B-D4AF-4715-A379-2E914B661977}"/>
    <hyperlink ref="A120" r:id="rId25" display="https://www.scoresandodds.com/nfl/teams/cowboys" xr:uid="{75B01AA1-A417-4BF9-9E5B-365FAC1DB1D6}"/>
    <hyperlink ref="A125" r:id="rId26" display="https://www.scoresandodds.com/nfl/teams/broncos" xr:uid="{9D746582-3818-4772-8194-076267B8F40D}"/>
    <hyperlink ref="A132" r:id="rId27" display="https://www.scoresandodds.com/nfl/teams/titans" xr:uid="{AC0FB9A3-C99C-4ACC-9968-7AA48F8077F5}"/>
    <hyperlink ref="A137" r:id="rId28" display="https://www.scoresandodds.com/nfl/teams/colts" xr:uid="{7DE42059-034C-414A-BBE1-1320ADEE2F21}"/>
    <hyperlink ref="A144" r:id="rId29" display="https://www.scoresandodds.com/nfl/teams/packers" xr:uid="{D8A4763B-22CE-452A-8D04-8359D8BB3BE2}"/>
    <hyperlink ref="A149" r:id="rId30" display="https://www.scoresandodds.com/nfl/teams/steelers" xr:uid="{E8D55B83-E54E-4933-954A-182288B6C802}"/>
    <hyperlink ref="A157" r:id="rId31" display="https://www.scoresandodds.com/nfl/teams/commanders" xr:uid="{102C6DA7-3E03-46AB-94CD-B6051EE98F2B}"/>
    <hyperlink ref="A162" r:id="rId32" display="https://www.scoresandodds.com/nfl/teams/chiefs" xr:uid="{2C576C09-1132-41F1-AF12-14B39C09A48B}"/>
  </hyperlinks>
  <pageMargins left="0.7" right="0.7" top="0.75" bottom="0.75" header="0.3" footer="0.3"/>
  <drawing r:id="rId3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8A1AA-615D-4FB9-A647-837E51C3EC50}">
  <dimension ref="A1:F177"/>
  <sheetViews>
    <sheetView workbookViewId="0">
      <selection sqref="A1:F177"/>
    </sheetView>
  </sheetViews>
  <sheetFormatPr baseColWidth="10" defaultRowHeight="15" x14ac:dyDescent="0.25"/>
  <cols>
    <col min="1" max="1" width="70.5703125" bestFit="1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3" spans="1:6" x14ac:dyDescent="0.25">
      <c r="A3" s="2" t="s">
        <v>2</v>
      </c>
    </row>
    <row r="4" spans="1:6" x14ac:dyDescent="0.25">
      <c r="A4" s="2" t="s">
        <v>3</v>
      </c>
    </row>
    <row r="5" spans="1:6" x14ac:dyDescent="0.25">
      <c r="A5" s="2" t="s">
        <v>4</v>
      </c>
    </row>
    <row r="6" spans="1:6" x14ac:dyDescent="0.25">
      <c r="A6" s="2" t="s">
        <v>5</v>
      </c>
    </row>
    <row r="7" spans="1:6" x14ac:dyDescent="0.25">
      <c r="A7" s="2" t="s">
        <v>6</v>
      </c>
    </row>
    <row r="8" spans="1:6" ht="15.75" thickBot="1" x14ac:dyDescent="0.3">
      <c r="A8" s="3" t="s">
        <v>540</v>
      </c>
      <c r="B8" s="4"/>
      <c r="C8" s="4" t="s">
        <v>8</v>
      </c>
      <c r="D8" s="4" t="s">
        <v>9</v>
      </c>
      <c r="E8" s="4" t="s">
        <v>10</v>
      </c>
      <c r="F8" s="4" t="s">
        <v>11</v>
      </c>
    </row>
    <row r="9" spans="1:6" x14ac:dyDescent="0.25">
      <c r="A9" s="5">
        <v>309</v>
      </c>
      <c r="B9" s="25">
        <v>28</v>
      </c>
      <c r="C9" s="8">
        <f>-7.5-118</f>
        <v>-125.5</v>
      </c>
      <c r="D9" s="16">
        <f>-7.5-118</f>
        <v>-125.5</v>
      </c>
      <c r="E9" s="18" t="s">
        <v>83</v>
      </c>
      <c r="F9" s="16">
        <v>-485</v>
      </c>
    </row>
    <row r="10" spans="1:6" x14ac:dyDescent="0.25">
      <c r="A10" s="6" t="s">
        <v>541</v>
      </c>
      <c r="B10" s="24"/>
      <c r="C10" s="8"/>
      <c r="D10" s="15"/>
      <c r="E10" s="17"/>
      <c r="F10" s="15"/>
    </row>
    <row r="11" spans="1:6" x14ac:dyDescent="0.25">
      <c r="A11" s="7"/>
      <c r="B11" s="24"/>
      <c r="C11" s="8">
        <f>-7.5-115</f>
        <v>-122.5</v>
      </c>
      <c r="D11" s="15"/>
      <c r="E11" s="17"/>
      <c r="F11" s="15"/>
    </row>
    <row r="12" spans="1:6" x14ac:dyDescent="0.25">
      <c r="A12" s="7"/>
      <c r="B12" s="24"/>
      <c r="C12" s="8"/>
      <c r="D12" s="15"/>
      <c r="E12" s="17"/>
      <c r="F12" s="15"/>
    </row>
    <row r="13" spans="1:6" x14ac:dyDescent="0.25">
      <c r="A13" s="7"/>
      <c r="B13" s="24"/>
      <c r="C13" s="8">
        <f>-7.5-115</f>
        <v>-122.5</v>
      </c>
      <c r="D13" s="15"/>
      <c r="E13" s="17"/>
      <c r="F13" s="15"/>
    </row>
    <row r="14" spans="1:6" x14ac:dyDescent="0.25">
      <c r="A14" s="9">
        <v>310</v>
      </c>
      <c r="B14" s="26">
        <v>6</v>
      </c>
      <c r="C14" s="12" t="s">
        <v>85</v>
      </c>
      <c r="D14" s="20">
        <f>7.5-102</f>
        <v>-94.5</v>
      </c>
      <c r="E14" s="21" t="s">
        <v>85</v>
      </c>
      <c r="F14" s="20">
        <v>360</v>
      </c>
    </row>
    <row r="15" spans="1:6" x14ac:dyDescent="0.25">
      <c r="A15" s="10" t="s">
        <v>542</v>
      </c>
      <c r="B15" s="26"/>
      <c r="C15" s="12"/>
      <c r="D15" s="20"/>
      <c r="E15" s="21"/>
      <c r="F15" s="20"/>
    </row>
    <row r="16" spans="1:6" x14ac:dyDescent="0.25">
      <c r="A16" s="11"/>
      <c r="B16" s="26"/>
      <c r="C16" s="12" t="s">
        <v>85</v>
      </c>
      <c r="D16" s="20"/>
      <c r="E16" s="21"/>
      <c r="F16" s="20"/>
    </row>
    <row r="17" spans="1:6" x14ac:dyDescent="0.25">
      <c r="A17" s="11"/>
      <c r="B17" s="26"/>
      <c r="C17" s="12"/>
      <c r="D17" s="20"/>
      <c r="E17" s="21"/>
      <c r="F17" s="20"/>
    </row>
    <row r="18" spans="1:6" x14ac:dyDescent="0.25">
      <c r="A18" s="11"/>
      <c r="B18" s="26"/>
      <c r="C18" s="12" t="s">
        <v>172</v>
      </c>
      <c r="D18" s="20"/>
      <c r="E18" s="21"/>
      <c r="F18" s="20"/>
    </row>
    <row r="19" spans="1:6" ht="38.25" thickBot="1" x14ac:dyDescent="0.3">
      <c r="A19" s="22" t="s">
        <v>17</v>
      </c>
    </row>
    <row r="20" spans="1:6" ht="67.5" x14ac:dyDescent="0.25">
      <c r="A20" s="27" t="s">
        <v>116</v>
      </c>
    </row>
    <row r="21" spans="1:6" x14ac:dyDescent="0.25">
      <c r="A21" s="23" t="s">
        <v>102</v>
      </c>
    </row>
    <row r="22" spans="1:6" ht="15.75" thickBot="1" x14ac:dyDescent="0.3">
      <c r="A22" s="3" t="s">
        <v>543</v>
      </c>
      <c r="B22" s="4"/>
      <c r="C22" s="4" t="s">
        <v>8</v>
      </c>
      <c r="D22" s="4" t="s">
        <v>9</v>
      </c>
      <c r="E22" s="4" t="s">
        <v>10</v>
      </c>
      <c r="F22" s="4" t="s">
        <v>11</v>
      </c>
    </row>
    <row r="23" spans="1:6" x14ac:dyDescent="0.25">
      <c r="A23" s="5">
        <v>457</v>
      </c>
      <c r="B23" s="14">
        <v>20</v>
      </c>
      <c r="C23" s="8">
        <f>-3-120</f>
        <v>-123</v>
      </c>
      <c r="D23" s="18">
        <f>-3-120</f>
        <v>-123</v>
      </c>
      <c r="E23" s="18" t="s">
        <v>83</v>
      </c>
      <c r="F23" s="18">
        <v>-170</v>
      </c>
    </row>
    <row r="24" spans="1:6" x14ac:dyDescent="0.25">
      <c r="A24" s="6" t="s">
        <v>544</v>
      </c>
      <c r="B24" s="13"/>
      <c r="C24" s="8"/>
      <c r="D24" s="17"/>
      <c r="E24" s="17"/>
      <c r="F24" s="17"/>
    </row>
    <row r="25" spans="1:6" x14ac:dyDescent="0.25">
      <c r="A25" s="7"/>
      <c r="B25" s="13"/>
      <c r="C25" s="8">
        <f>-3-120</f>
        <v>-123</v>
      </c>
      <c r="D25" s="17"/>
      <c r="E25" s="17"/>
      <c r="F25" s="17"/>
    </row>
    <row r="26" spans="1:6" x14ac:dyDescent="0.25">
      <c r="A26" s="7"/>
      <c r="B26" s="13"/>
      <c r="C26" s="8"/>
      <c r="D26" s="17"/>
      <c r="E26" s="17"/>
      <c r="F26" s="17"/>
    </row>
    <row r="27" spans="1:6" x14ac:dyDescent="0.25">
      <c r="A27" s="7"/>
      <c r="B27" s="13"/>
      <c r="C27" s="8" t="s">
        <v>211</v>
      </c>
      <c r="D27" s="17"/>
      <c r="E27" s="17"/>
      <c r="F27" s="17"/>
    </row>
    <row r="28" spans="1:6" x14ac:dyDescent="0.25">
      <c r="A28" s="9">
        <v>458</v>
      </c>
      <c r="B28" s="19">
        <v>27</v>
      </c>
      <c r="C28" s="12" t="s">
        <v>85</v>
      </c>
      <c r="D28" s="21" t="s">
        <v>418</v>
      </c>
      <c r="E28" s="21" t="s">
        <v>85</v>
      </c>
      <c r="F28" s="21">
        <v>145</v>
      </c>
    </row>
    <row r="29" spans="1:6" x14ac:dyDescent="0.25">
      <c r="A29" s="10" t="s">
        <v>545</v>
      </c>
      <c r="B29" s="19"/>
      <c r="C29" s="12"/>
      <c r="D29" s="21"/>
      <c r="E29" s="21"/>
      <c r="F29" s="21"/>
    </row>
    <row r="30" spans="1:6" x14ac:dyDescent="0.25">
      <c r="A30" s="11"/>
      <c r="B30" s="19"/>
      <c r="C30" s="12" t="s">
        <v>546</v>
      </c>
      <c r="D30" s="21"/>
      <c r="E30" s="21"/>
      <c r="F30" s="21"/>
    </row>
    <row r="31" spans="1:6" x14ac:dyDescent="0.25">
      <c r="A31" s="11"/>
      <c r="B31" s="19"/>
      <c r="C31" s="12"/>
      <c r="D31" s="21"/>
      <c r="E31" s="21"/>
      <c r="F31" s="21"/>
    </row>
    <row r="32" spans="1:6" x14ac:dyDescent="0.25">
      <c r="A32" s="11"/>
      <c r="B32" s="19"/>
      <c r="C32" s="12" t="s">
        <v>546</v>
      </c>
      <c r="D32" s="21"/>
      <c r="E32" s="21"/>
      <c r="F32" s="21"/>
    </row>
    <row r="33" spans="1:6" ht="37.5" x14ac:dyDescent="0.25">
      <c r="A33" s="22" t="s">
        <v>17</v>
      </c>
    </row>
    <row r="34" spans="1:6" ht="15.75" thickBot="1" x14ac:dyDescent="0.3">
      <c r="A34" s="3" t="s">
        <v>543</v>
      </c>
      <c r="B34" s="4"/>
      <c r="C34" s="4" t="s">
        <v>8</v>
      </c>
      <c r="D34" s="4" t="s">
        <v>9</v>
      </c>
      <c r="E34" s="4" t="s">
        <v>10</v>
      </c>
      <c r="F34" s="4" t="s">
        <v>11</v>
      </c>
    </row>
    <row r="35" spans="1:6" x14ac:dyDescent="0.25">
      <c r="A35" s="5">
        <v>451</v>
      </c>
      <c r="B35" s="25">
        <v>47</v>
      </c>
      <c r="C35" s="8">
        <f>-3-105</f>
        <v>-108</v>
      </c>
      <c r="D35" s="16">
        <f>-3-105</f>
        <v>-108</v>
      </c>
      <c r="E35" s="16" t="s">
        <v>83</v>
      </c>
      <c r="F35" s="16">
        <v>-162</v>
      </c>
    </row>
    <row r="36" spans="1:6" x14ac:dyDescent="0.25">
      <c r="A36" s="6" t="s">
        <v>547</v>
      </c>
      <c r="B36" s="24"/>
      <c r="C36" s="8"/>
      <c r="D36" s="15"/>
      <c r="E36" s="15"/>
      <c r="F36" s="15"/>
    </row>
    <row r="37" spans="1:6" x14ac:dyDescent="0.25">
      <c r="A37" s="7"/>
      <c r="B37" s="24"/>
      <c r="C37" s="8">
        <f>-2.5-118</f>
        <v>-120.5</v>
      </c>
      <c r="D37" s="15"/>
      <c r="E37" s="15"/>
      <c r="F37" s="15"/>
    </row>
    <row r="38" spans="1:6" x14ac:dyDescent="0.25">
      <c r="A38" s="7"/>
      <c r="B38" s="24"/>
      <c r="C38" s="8"/>
      <c r="D38" s="15"/>
      <c r="E38" s="15"/>
      <c r="F38" s="15"/>
    </row>
    <row r="39" spans="1:6" x14ac:dyDescent="0.25">
      <c r="A39" s="7"/>
      <c r="B39" s="24"/>
      <c r="C39" s="8">
        <f>-2.5-118</f>
        <v>-120.5</v>
      </c>
      <c r="D39" s="15"/>
      <c r="E39" s="15"/>
      <c r="F39" s="15"/>
    </row>
    <row r="40" spans="1:6" x14ac:dyDescent="0.25">
      <c r="A40" s="9">
        <v>452</v>
      </c>
      <c r="B40" s="26">
        <v>42</v>
      </c>
      <c r="C40" s="12" t="s">
        <v>85</v>
      </c>
      <c r="D40" s="20">
        <f>3-115</f>
        <v>-112</v>
      </c>
      <c r="E40" s="20" t="s">
        <v>85</v>
      </c>
      <c r="F40" s="20">
        <v>136</v>
      </c>
    </row>
    <row r="41" spans="1:6" x14ac:dyDescent="0.25">
      <c r="A41" s="10" t="s">
        <v>548</v>
      </c>
      <c r="B41" s="26"/>
      <c r="C41" s="12"/>
      <c r="D41" s="20"/>
      <c r="E41" s="20"/>
      <c r="F41" s="20"/>
    </row>
    <row r="42" spans="1:6" x14ac:dyDescent="0.25">
      <c r="A42" s="11"/>
      <c r="B42" s="26"/>
      <c r="C42" s="12" t="s">
        <v>85</v>
      </c>
      <c r="D42" s="20"/>
      <c r="E42" s="20"/>
      <c r="F42" s="20"/>
    </row>
    <row r="43" spans="1:6" x14ac:dyDescent="0.25">
      <c r="A43" s="11"/>
      <c r="B43" s="26"/>
      <c r="C43" s="12"/>
      <c r="D43" s="20"/>
      <c r="E43" s="20"/>
      <c r="F43" s="20"/>
    </row>
    <row r="44" spans="1:6" x14ac:dyDescent="0.25">
      <c r="A44" s="11"/>
      <c r="B44" s="26"/>
      <c r="C44" s="12" t="s">
        <v>85</v>
      </c>
      <c r="D44" s="20"/>
      <c r="E44" s="20"/>
      <c r="F44" s="20"/>
    </row>
    <row r="45" spans="1:6" ht="37.5" x14ac:dyDescent="0.25">
      <c r="A45" s="22" t="s">
        <v>17</v>
      </c>
    </row>
    <row r="46" spans="1:6" ht="15.75" thickBot="1" x14ac:dyDescent="0.3">
      <c r="A46" s="3" t="s">
        <v>543</v>
      </c>
      <c r="B46" s="4"/>
      <c r="C46" s="4" t="s">
        <v>8</v>
      </c>
      <c r="D46" s="4" t="s">
        <v>9</v>
      </c>
      <c r="E46" s="4" t="s">
        <v>10</v>
      </c>
      <c r="F46" s="4" t="s">
        <v>11</v>
      </c>
    </row>
    <row r="47" spans="1:6" x14ac:dyDescent="0.25">
      <c r="A47" s="5">
        <v>465</v>
      </c>
      <c r="B47" s="25">
        <v>27</v>
      </c>
      <c r="C47" s="8">
        <f>-10-112</f>
        <v>-122</v>
      </c>
      <c r="D47" s="18">
        <f>-10-112</f>
        <v>-122</v>
      </c>
      <c r="E47" s="16" t="s">
        <v>192</v>
      </c>
      <c r="F47" s="16">
        <v>-675</v>
      </c>
    </row>
    <row r="48" spans="1:6" x14ac:dyDescent="0.25">
      <c r="A48" s="6" t="s">
        <v>549</v>
      </c>
      <c r="B48" s="24"/>
      <c r="C48" s="8"/>
      <c r="D48" s="17"/>
      <c r="E48" s="15"/>
      <c r="F48" s="15"/>
    </row>
    <row r="49" spans="1:6" x14ac:dyDescent="0.25">
      <c r="A49" s="7"/>
      <c r="B49" s="24"/>
      <c r="C49" s="8">
        <f>-10-112</f>
        <v>-122</v>
      </c>
      <c r="D49" s="17"/>
      <c r="E49" s="15"/>
      <c r="F49" s="15"/>
    </row>
    <row r="50" spans="1:6" x14ac:dyDescent="0.25">
      <c r="A50" s="7"/>
      <c r="B50" s="24"/>
      <c r="C50" s="8"/>
      <c r="D50" s="17"/>
      <c r="E50" s="15"/>
      <c r="F50" s="15"/>
    </row>
    <row r="51" spans="1:6" x14ac:dyDescent="0.25">
      <c r="A51" s="7"/>
      <c r="B51" s="24"/>
      <c r="C51" s="8">
        <f>-10-112</f>
        <v>-122</v>
      </c>
      <c r="D51" s="17"/>
      <c r="E51" s="15"/>
      <c r="F51" s="15"/>
    </row>
    <row r="52" spans="1:6" x14ac:dyDescent="0.25">
      <c r="A52" s="9">
        <v>466</v>
      </c>
      <c r="B52" s="26">
        <v>20</v>
      </c>
      <c r="C52" s="12" t="s">
        <v>108</v>
      </c>
      <c r="D52" s="21">
        <f>10-108</f>
        <v>-98</v>
      </c>
      <c r="E52" s="20" t="s">
        <v>108</v>
      </c>
      <c r="F52" s="20">
        <v>470</v>
      </c>
    </row>
    <row r="53" spans="1:6" x14ac:dyDescent="0.25">
      <c r="A53" s="10" t="s">
        <v>550</v>
      </c>
      <c r="B53" s="26"/>
      <c r="C53" s="12"/>
      <c r="D53" s="21"/>
      <c r="E53" s="20"/>
      <c r="F53" s="20"/>
    </row>
    <row r="54" spans="1:6" x14ac:dyDescent="0.25">
      <c r="A54" s="11"/>
      <c r="B54" s="26"/>
      <c r="C54" s="12" t="s">
        <v>336</v>
      </c>
      <c r="D54" s="21"/>
      <c r="E54" s="20"/>
      <c r="F54" s="20"/>
    </row>
    <row r="55" spans="1:6" x14ac:dyDescent="0.25">
      <c r="A55" s="11"/>
      <c r="B55" s="26"/>
      <c r="C55" s="12"/>
      <c r="D55" s="21"/>
      <c r="E55" s="20"/>
      <c r="F55" s="20"/>
    </row>
    <row r="56" spans="1:6" x14ac:dyDescent="0.25">
      <c r="A56" s="11"/>
      <c r="B56" s="26"/>
      <c r="C56" s="12" t="s">
        <v>44</v>
      </c>
      <c r="D56" s="21"/>
      <c r="E56" s="20"/>
      <c r="F56" s="20"/>
    </row>
    <row r="57" spans="1:6" ht="37.5" x14ac:dyDescent="0.25">
      <c r="A57" s="22" t="s">
        <v>17</v>
      </c>
    </row>
    <row r="58" spans="1:6" ht="15.75" thickBot="1" x14ac:dyDescent="0.3">
      <c r="A58" s="3" t="s">
        <v>543</v>
      </c>
      <c r="B58" s="4"/>
      <c r="C58" s="4" t="s">
        <v>8</v>
      </c>
      <c r="D58" s="4" t="s">
        <v>9</v>
      </c>
      <c r="E58" s="4" t="s">
        <v>10</v>
      </c>
      <c r="F58" s="4" t="s">
        <v>11</v>
      </c>
    </row>
    <row r="59" spans="1:6" x14ac:dyDescent="0.25">
      <c r="A59" s="5">
        <v>463</v>
      </c>
      <c r="B59" s="25">
        <v>18</v>
      </c>
      <c r="C59" s="8" t="s">
        <v>119</v>
      </c>
      <c r="D59" s="16">
        <f>1.5-110</f>
        <v>-108.5</v>
      </c>
      <c r="E59" s="18" t="s">
        <v>119</v>
      </c>
      <c r="F59" s="16">
        <v>105</v>
      </c>
    </row>
    <row r="60" spans="1:6" x14ac:dyDescent="0.25">
      <c r="A60" s="6" t="s">
        <v>551</v>
      </c>
      <c r="B60" s="24"/>
      <c r="C60" s="8"/>
      <c r="D60" s="15"/>
      <c r="E60" s="17"/>
      <c r="F60" s="15"/>
    </row>
    <row r="61" spans="1:6" x14ac:dyDescent="0.25">
      <c r="A61" s="7"/>
      <c r="B61" s="24"/>
      <c r="C61" s="8" t="s">
        <v>552</v>
      </c>
      <c r="D61" s="15"/>
      <c r="E61" s="17"/>
      <c r="F61" s="15"/>
    </row>
    <row r="62" spans="1:6" x14ac:dyDescent="0.25">
      <c r="A62" s="7"/>
      <c r="B62" s="24"/>
      <c r="C62" s="8"/>
      <c r="D62" s="15"/>
      <c r="E62" s="17"/>
      <c r="F62" s="15"/>
    </row>
    <row r="63" spans="1:6" x14ac:dyDescent="0.25">
      <c r="A63" s="7"/>
      <c r="B63" s="24"/>
      <c r="C63" s="8" t="s">
        <v>269</v>
      </c>
      <c r="D63" s="15"/>
      <c r="E63" s="17"/>
      <c r="F63" s="15"/>
    </row>
    <row r="64" spans="1:6" x14ac:dyDescent="0.25">
      <c r="A64" s="9">
        <v>464</v>
      </c>
      <c r="B64" s="26">
        <v>15</v>
      </c>
      <c r="C64" s="12">
        <f>-1.5-110</f>
        <v>-111.5</v>
      </c>
      <c r="D64" s="20">
        <f>-1.5-110</f>
        <v>-111.5</v>
      </c>
      <c r="E64" s="21" t="s">
        <v>122</v>
      </c>
      <c r="F64" s="20">
        <v>-122</v>
      </c>
    </row>
    <row r="65" spans="1:6" x14ac:dyDescent="0.25">
      <c r="A65" s="10" t="s">
        <v>553</v>
      </c>
      <c r="B65" s="26"/>
      <c r="C65" s="12"/>
      <c r="D65" s="20"/>
      <c r="E65" s="21"/>
      <c r="F65" s="20"/>
    </row>
    <row r="66" spans="1:6" x14ac:dyDescent="0.25">
      <c r="A66" s="11"/>
      <c r="B66" s="26"/>
      <c r="C66" s="12">
        <f>-1.5-110</f>
        <v>-111.5</v>
      </c>
      <c r="D66" s="20"/>
      <c r="E66" s="21"/>
      <c r="F66" s="20"/>
    </row>
    <row r="67" spans="1:6" x14ac:dyDescent="0.25">
      <c r="A67" s="11"/>
      <c r="B67" s="26"/>
      <c r="C67" s="12"/>
      <c r="D67" s="20"/>
      <c r="E67" s="21"/>
      <c r="F67" s="20"/>
    </row>
    <row r="68" spans="1:6" x14ac:dyDescent="0.25">
      <c r="A68" s="11"/>
      <c r="B68" s="26"/>
      <c r="C68" s="12">
        <f>-1.5-110</f>
        <v>-111.5</v>
      </c>
      <c r="D68" s="20"/>
      <c r="E68" s="21"/>
      <c r="F68" s="20"/>
    </row>
    <row r="69" spans="1:6" ht="37.5" x14ac:dyDescent="0.25">
      <c r="A69" s="22" t="s">
        <v>17</v>
      </c>
    </row>
    <row r="70" spans="1:6" ht="15.75" thickBot="1" x14ac:dyDescent="0.3">
      <c r="A70" s="3" t="s">
        <v>543</v>
      </c>
      <c r="B70" s="4"/>
      <c r="C70" s="4" t="s">
        <v>8</v>
      </c>
      <c r="D70" s="4" t="s">
        <v>9</v>
      </c>
      <c r="E70" s="4" t="s">
        <v>10</v>
      </c>
      <c r="F70" s="4" t="s">
        <v>11</v>
      </c>
    </row>
    <row r="71" spans="1:6" x14ac:dyDescent="0.25">
      <c r="A71" s="5">
        <v>455</v>
      </c>
      <c r="B71" s="14">
        <v>23</v>
      </c>
      <c r="C71" s="8" t="s">
        <v>406</v>
      </c>
      <c r="D71" s="16">
        <f>5.5-115</f>
        <v>-109.5</v>
      </c>
      <c r="E71" s="16" t="s">
        <v>257</v>
      </c>
      <c r="F71" s="18">
        <v>190</v>
      </c>
    </row>
    <row r="72" spans="1:6" x14ac:dyDescent="0.25">
      <c r="A72" s="6" t="s">
        <v>554</v>
      </c>
      <c r="B72" s="13"/>
      <c r="C72" s="8"/>
      <c r="D72" s="15"/>
      <c r="E72" s="15"/>
      <c r="F72" s="17"/>
    </row>
    <row r="73" spans="1:6" x14ac:dyDescent="0.25">
      <c r="A73" s="7"/>
      <c r="B73" s="13"/>
      <c r="C73" s="8" t="s">
        <v>406</v>
      </c>
      <c r="D73" s="15"/>
      <c r="E73" s="15"/>
      <c r="F73" s="17"/>
    </row>
    <row r="74" spans="1:6" x14ac:dyDescent="0.25">
      <c r="A74" s="7"/>
      <c r="B74" s="13"/>
      <c r="C74" s="8"/>
      <c r="D74" s="15"/>
      <c r="E74" s="15"/>
      <c r="F74" s="17"/>
    </row>
    <row r="75" spans="1:6" x14ac:dyDescent="0.25">
      <c r="A75" s="7"/>
      <c r="B75" s="13"/>
      <c r="C75" s="8" t="s">
        <v>406</v>
      </c>
      <c r="D75" s="15"/>
      <c r="E75" s="15"/>
      <c r="F75" s="17"/>
    </row>
    <row r="76" spans="1:6" x14ac:dyDescent="0.25">
      <c r="A76" s="9">
        <v>456</v>
      </c>
      <c r="B76" s="19">
        <v>24</v>
      </c>
      <c r="C76" s="12">
        <f>-5.5-110</f>
        <v>-115.5</v>
      </c>
      <c r="D76" s="20">
        <f>-5.5-115</f>
        <v>-120.5</v>
      </c>
      <c r="E76" s="20" t="s">
        <v>109</v>
      </c>
      <c r="F76" s="21">
        <v>-250</v>
      </c>
    </row>
    <row r="77" spans="1:6" x14ac:dyDescent="0.25">
      <c r="A77" s="10" t="s">
        <v>555</v>
      </c>
      <c r="B77" s="19"/>
      <c r="C77" s="12"/>
      <c r="D77" s="20"/>
      <c r="E77" s="20"/>
      <c r="F77" s="21"/>
    </row>
    <row r="78" spans="1:6" x14ac:dyDescent="0.25">
      <c r="A78" s="11"/>
      <c r="B78" s="19"/>
      <c r="C78" s="12">
        <f>-4.5-118</f>
        <v>-122.5</v>
      </c>
      <c r="D78" s="20"/>
      <c r="E78" s="20"/>
      <c r="F78" s="21"/>
    </row>
    <row r="79" spans="1:6" x14ac:dyDescent="0.25">
      <c r="A79" s="11"/>
      <c r="B79" s="19"/>
      <c r="C79" s="12"/>
      <c r="D79" s="20"/>
      <c r="E79" s="20"/>
      <c r="F79" s="21"/>
    </row>
    <row r="80" spans="1:6" x14ac:dyDescent="0.25">
      <c r="A80" s="11"/>
      <c r="B80" s="19"/>
      <c r="C80" s="12">
        <f>-4.5-118</f>
        <v>-122.5</v>
      </c>
      <c r="D80" s="20"/>
      <c r="E80" s="20"/>
      <c r="F80" s="21"/>
    </row>
    <row r="81" spans="1:6" ht="37.5" x14ac:dyDescent="0.25">
      <c r="A81" s="22" t="s">
        <v>17</v>
      </c>
    </row>
    <row r="82" spans="1:6" ht="15.75" thickBot="1" x14ac:dyDescent="0.3">
      <c r="A82" s="3" t="s">
        <v>543</v>
      </c>
      <c r="B82" s="4"/>
      <c r="C82" s="4" t="s">
        <v>8</v>
      </c>
      <c r="D82" s="4" t="s">
        <v>9</v>
      </c>
      <c r="E82" s="4" t="s">
        <v>10</v>
      </c>
      <c r="F82" s="4" t="s">
        <v>11</v>
      </c>
    </row>
    <row r="83" spans="1:6" x14ac:dyDescent="0.25">
      <c r="A83" s="5">
        <v>461</v>
      </c>
      <c r="B83" s="25">
        <v>27</v>
      </c>
      <c r="C83" s="8" t="s">
        <v>244</v>
      </c>
      <c r="D83" s="16">
        <f>9.5-108</f>
        <v>-98.5</v>
      </c>
      <c r="E83" s="16" t="s">
        <v>244</v>
      </c>
      <c r="F83" s="16">
        <v>410</v>
      </c>
    </row>
    <row r="84" spans="1:6" x14ac:dyDescent="0.25">
      <c r="A84" s="6" t="s">
        <v>556</v>
      </c>
      <c r="B84" s="24"/>
      <c r="C84" s="8"/>
      <c r="D84" s="15"/>
      <c r="E84" s="15"/>
      <c r="F84" s="15"/>
    </row>
    <row r="85" spans="1:6" x14ac:dyDescent="0.25">
      <c r="A85" s="7"/>
      <c r="B85" s="24"/>
      <c r="C85" s="8" t="s">
        <v>244</v>
      </c>
      <c r="D85" s="15"/>
      <c r="E85" s="15"/>
      <c r="F85" s="15"/>
    </row>
    <row r="86" spans="1:6" x14ac:dyDescent="0.25">
      <c r="A86" s="7"/>
      <c r="B86" s="24"/>
      <c r="C86" s="8"/>
      <c r="D86" s="15"/>
      <c r="E86" s="15"/>
      <c r="F86" s="15"/>
    </row>
    <row r="87" spans="1:6" x14ac:dyDescent="0.25">
      <c r="A87" s="7"/>
      <c r="B87" s="24"/>
      <c r="C87" s="8" t="s">
        <v>244</v>
      </c>
      <c r="D87" s="15"/>
      <c r="E87" s="15"/>
      <c r="F87" s="15"/>
    </row>
    <row r="88" spans="1:6" x14ac:dyDescent="0.25">
      <c r="A88" s="9">
        <v>462</v>
      </c>
      <c r="B88" s="26">
        <v>24</v>
      </c>
      <c r="C88" s="12">
        <f>-9.5-108</f>
        <v>-117.5</v>
      </c>
      <c r="D88" s="20">
        <f>-9.5-112</f>
        <v>-121.5</v>
      </c>
      <c r="E88" s="20" t="s">
        <v>25</v>
      </c>
      <c r="F88" s="20">
        <v>-500</v>
      </c>
    </row>
    <row r="89" spans="1:6" x14ac:dyDescent="0.25">
      <c r="A89" s="10" t="s">
        <v>557</v>
      </c>
      <c r="B89" s="26"/>
      <c r="C89" s="12"/>
      <c r="D89" s="20"/>
      <c r="E89" s="20"/>
      <c r="F89" s="20"/>
    </row>
    <row r="90" spans="1:6" x14ac:dyDescent="0.25">
      <c r="A90" s="11"/>
      <c r="B90" s="26"/>
      <c r="C90" s="12">
        <f>-8.5-120</f>
        <v>-128.5</v>
      </c>
      <c r="D90" s="20"/>
      <c r="E90" s="20"/>
      <c r="F90" s="20"/>
    </row>
    <row r="91" spans="1:6" x14ac:dyDescent="0.25">
      <c r="A91" s="11"/>
      <c r="B91" s="26"/>
      <c r="C91" s="12"/>
      <c r="D91" s="20"/>
      <c r="E91" s="20"/>
      <c r="F91" s="20"/>
    </row>
    <row r="92" spans="1:6" x14ac:dyDescent="0.25">
      <c r="A92" s="11"/>
      <c r="B92" s="26"/>
      <c r="C92" s="12">
        <f>-9.5-105</f>
        <v>-114.5</v>
      </c>
      <c r="D92" s="20"/>
      <c r="E92" s="20"/>
      <c r="F92" s="20"/>
    </row>
    <row r="93" spans="1:6" ht="37.5" x14ac:dyDescent="0.25">
      <c r="A93" s="22" t="s">
        <v>17</v>
      </c>
    </row>
    <row r="94" spans="1:6" ht="15.75" thickBot="1" x14ac:dyDescent="0.3">
      <c r="A94" s="3" t="s">
        <v>543</v>
      </c>
      <c r="B94" s="4"/>
      <c r="C94" s="4" t="s">
        <v>8</v>
      </c>
      <c r="D94" s="4" t="s">
        <v>9</v>
      </c>
      <c r="E94" s="4" t="s">
        <v>10</v>
      </c>
      <c r="F94" s="4" t="s">
        <v>11</v>
      </c>
    </row>
    <row r="95" spans="1:6" x14ac:dyDescent="0.25">
      <c r="A95" s="5">
        <v>453</v>
      </c>
      <c r="B95" s="25">
        <v>34</v>
      </c>
      <c r="C95" s="8">
        <f>-2.5-120</f>
        <v>-122.5</v>
      </c>
      <c r="D95" s="16">
        <f>-2.5-120</f>
        <v>-122.5</v>
      </c>
      <c r="E95" s="16" t="s">
        <v>485</v>
      </c>
      <c r="F95" s="16">
        <v>-148</v>
      </c>
    </row>
    <row r="96" spans="1:6" x14ac:dyDescent="0.25">
      <c r="A96" s="6" t="s">
        <v>558</v>
      </c>
      <c r="B96" s="24"/>
      <c r="C96" s="8"/>
      <c r="D96" s="15"/>
      <c r="E96" s="15"/>
      <c r="F96" s="15"/>
    </row>
    <row r="97" spans="1:6" x14ac:dyDescent="0.25">
      <c r="A97" s="7"/>
      <c r="B97" s="24"/>
      <c r="C97" s="8">
        <f>-2.5-120</f>
        <v>-122.5</v>
      </c>
      <c r="D97" s="15"/>
      <c r="E97" s="15"/>
      <c r="F97" s="15"/>
    </row>
    <row r="98" spans="1:6" x14ac:dyDescent="0.25">
      <c r="A98" s="7"/>
      <c r="B98" s="24"/>
      <c r="C98" s="8"/>
      <c r="D98" s="15"/>
      <c r="E98" s="15"/>
      <c r="F98" s="15"/>
    </row>
    <row r="99" spans="1:6" x14ac:dyDescent="0.25">
      <c r="A99" s="7"/>
      <c r="B99" s="24"/>
      <c r="C99" s="8">
        <f>-2.5-115</f>
        <v>-117.5</v>
      </c>
      <c r="D99" s="15"/>
      <c r="E99" s="15"/>
      <c r="F99" s="15"/>
    </row>
    <row r="100" spans="1:6" x14ac:dyDescent="0.25">
      <c r="A100" s="9">
        <v>454</v>
      </c>
      <c r="B100" s="26">
        <v>24</v>
      </c>
      <c r="C100" s="12" t="s">
        <v>486</v>
      </c>
      <c r="D100" s="20" t="s">
        <v>26</v>
      </c>
      <c r="E100" s="20" t="s">
        <v>486</v>
      </c>
      <c r="F100" s="20">
        <v>124</v>
      </c>
    </row>
    <row r="101" spans="1:6" x14ac:dyDescent="0.25">
      <c r="A101" s="10" t="s">
        <v>559</v>
      </c>
      <c r="B101" s="26"/>
      <c r="C101" s="12"/>
      <c r="D101" s="20"/>
      <c r="E101" s="20"/>
      <c r="F101" s="20"/>
    </row>
    <row r="102" spans="1:6" x14ac:dyDescent="0.25">
      <c r="A102" s="11"/>
      <c r="B102" s="26"/>
      <c r="C102" s="12" t="s">
        <v>560</v>
      </c>
      <c r="D102" s="20"/>
      <c r="E102" s="20"/>
      <c r="F102" s="20"/>
    </row>
    <row r="103" spans="1:6" x14ac:dyDescent="0.25">
      <c r="A103" s="11"/>
      <c r="B103" s="26"/>
      <c r="C103" s="12"/>
      <c r="D103" s="20"/>
      <c r="E103" s="20"/>
      <c r="F103" s="20"/>
    </row>
    <row r="104" spans="1:6" x14ac:dyDescent="0.25">
      <c r="A104" s="11"/>
      <c r="B104" s="26"/>
      <c r="C104" s="12" t="s">
        <v>560</v>
      </c>
      <c r="D104" s="20"/>
      <c r="E104" s="20"/>
      <c r="F104" s="20"/>
    </row>
    <row r="105" spans="1:6" ht="37.5" x14ac:dyDescent="0.25">
      <c r="A105" s="22" t="s">
        <v>17</v>
      </c>
    </row>
    <row r="106" spans="1:6" ht="15.75" thickBot="1" x14ac:dyDescent="0.3">
      <c r="A106" s="3" t="s">
        <v>543</v>
      </c>
      <c r="B106" s="4"/>
      <c r="C106" s="4" t="s">
        <v>8</v>
      </c>
      <c r="D106" s="4" t="s">
        <v>9</v>
      </c>
      <c r="E106" s="4" t="s">
        <v>10</v>
      </c>
      <c r="F106" s="4" t="s">
        <v>11</v>
      </c>
    </row>
    <row r="107" spans="1:6" x14ac:dyDescent="0.25">
      <c r="A107" s="5">
        <v>459</v>
      </c>
      <c r="B107" s="25">
        <v>16</v>
      </c>
      <c r="C107" s="8" t="s">
        <v>315</v>
      </c>
      <c r="D107" s="16">
        <f>12.5-102</f>
        <v>-89.5</v>
      </c>
      <c r="E107" s="18" t="s">
        <v>387</v>
      </c>
      <c r="F107" s="16">
        <v>625</v>
      </c>
    </row>
    <row r="108" spans="1:6" x14ac:dyDescent="0.25">
      <c r="A108" s="6" t="s">
        <v>561</v>
      </c>
      <c r="B108" s="24"/>
      <c r="C108" s="8"/>
      <c r="D108" s="15"/>
      <c r="E108" s="17"/>
      <c r="F108" s="15"/>
    </row>
    <row r="109" spans="1:6" x14ac:dyDescent="0.25">
      <c r="A109" s="7"/>
      <c r="B109" s="24"/>
      <c r="C109" s="8" t="s">
        <v>185</v>
      </c>
      <c r="D109" s="15"/>
      <c r="E109" s="17"/>
      <c r="F109" s="15"/>
    </row>
    <row r="110" spans="1:6" x14ac:dyDescent="0.25">
      <c r="A110" s="7"/>
      <c r="B110" s="24"/>
      <c r="C110" s="8"/>
      <c r="D110" s="15"/>
      <c r="E110" s="17"/>
      <c r="F110" s="15"/>
    </row>
    <row r="111" spans="1:6" x14ac:dyDescent="0.25">
      <c r="A111" s="7"/>
      <c r="B111" s="24"/>
      <c r="C111" s="8" t="s">
        <v>315</v>
      </c>
      <c r="D111" s="15"/>
      <c r="E111" s="17"/>
      <c r="F111" s="15"/>
    </row>
    <row r="112" spans="1:6" x14ac:dyDescent="0.25">
      <c r="A112" s="9">
        <v>460</v>
      </c>
      <c r="B112" s="26">
        <v>13</v>
      </c>
      <c r="C112" s="12">
        <f>-12.5-118</f>
        <v>-130.5</v>
      </c>
      <c r="D112" s="20">
        <f>-12.5-118</f>
        <v>-130.5</v>
      </c>
      <c r="E112" s="21" t="s">
        <v>315</v>
      </c>
      <c r="F112" s="20">
        <v>-1000</v>
      </c>
    </row>
    <row r="113" spans="1:6" x14ac:dyDescent="0.25">
      <c r="A113" s="10" t="s">
        <v>562</v>
      </c>
      <c r="B113" s="26"/>
      <c r="C113" s="12"/>
      <c r="D113" s="20"/>
      <c r="E113" s="21"/>
      <c r="F113" s="20"/>
    </row>
    <row r="114" spans="1:6" x14ac:dyDescent="0.25">
      <c r="A114" s="11"/>
      <c r="B114" s="26"/>
      <c r="C114" s="12">
        <f>-12.5-118</f>
        <v>-130.5</v>
      </c>
      <c r="D114" s="20"/>
      <c r="E114" s="21"/>
      <c r="F114" s="20"/>
    </row>
    <row r="115" spans="1:6" x14ac:dyDescent="0.25">
      <c r="A115" s="11"/>
      <c r="B115" s="26"/>
      <c r="C115" s="12"/>
      <c r="D115" s="20"/>
      <c r="E115" s="21"/>
      <c r="F115" s="20"/>
    </row>
    <row r="116" spans="1:6" x14ac:dyDescent="0.25">
      <c r="A116" s="11"/>
      <c r="B116" s="26"/>
      <c r="C116" s="12">
        <f>-12.5-118</f>
        <v>-130.5</v>
      </c>
      <c r="D116" s="20"/>
      <c r="E116" s="21"/>
      <c r="F116" s="20"/>
    </row>
    <row r="117" spans="1:6" ht="37.5" x14ac:dyDescent="0.25">
      <c r="A117" s="22" t="s">
        <v>17</v>
      </c>
    </row>
    <row r="118" spans="1:6" ht="15.75" thickBot="1" x14ac:dyDescent="0.3">
      <c r="A118" s="3" t="s">
        <v>563</v>
      </c>
      <c r="B118" s="4"/>
      <c r="C118" s="4" t="s">
        <v>8</v>
      </c>
      <c r="D118" s="4" t="s">
        <v>9</v>
      </c>
      <c r="E118" s="4" t="s">
        <v>10</v>
      </c>
      <c r="F118" s="4" t="s">
        <v>11</v>
      </c>
    </row>
    <row r="119" spans="1:6" x14ac:dyDescent="0.25">
      <c r="A119" s="5">
        <v>467</v>
      </c>
      <c r="B119" s="25">
        <v>30</v>
      </c>
      <c r="C119" s="8">
        <f>-2.5-105</f>
        <v>-107.5</v>
      </c>
      <c r="D119" s="18">
        <f>-2.5-105</f>
        <v>-107.5</v>
      </c>
      <c r="E119" s="16" t="s">
        <v>42</v>
      </c>
      <c r="F119" s="16">
        <v>-130</v>
      </c>
    </row>
    <row r="120" spans="1:6" x14ac:dyDescent="0.25">
      <c r="A120" s="6" t="s">
        <v>564</v>
      </c>
      <c r="B120" s="24"/>
      <c r="C120" s="8"/>
      <c r="D120" s="17"/>
      <c r="E120" s="15"/>
      <c r="F120" s="15"/>
    </row>
    <row r="121" spans="1:6" x14ac:dyDescent="0.25">
      <c r="A121" s="7"/>
      <c r="B121" s="24"/>
      <c r="C121" s="8">
        <f>-2.5-105</f>
        <v>-107.5</v>
      </c>
      <c r="D121" s="17"/>
      <c r="E121" s="15"/>
      <c r="F121" s="15"/>
    </row>
    <row r="122" spans="1:6" x14ac:dyDescent="0.25">
      <c r="A122" s="7"/>
      <c r="B122" s="24"/>
      <c r="C122" s="8"/>
      <c r="D122" s="17"/>
      <c r="E122" s="15"/>
      <c r="F122" s="15"/>
    </row>
    <row r="123" spans="1:6" x14ac:dyDescent="0.25">
      <c r="A123" s="7"/>
      <c r="B123" s="24"/>
      <c r="C123" s="8">
        <f>-2.5-112</f>
        <v>-114.5</v>
      </c>
      <c r="D123" s="17"/>
      <c r="E123" s="15"/>
      <c r="F123" s="15"/>
    </row>
    <row r="124" spans="1:6" x14ac:dyDescent="0.25">
      <c r="A124" s="9">
        <v>468</v>
      </c>
      <c r="B124" s="26">
        <v>29</v>
      </c>
      <c r="C124" s="12" t="s">
        <v>44</v>
      </c>
      <c r="D124" s="21">
        <f>2.5-115</f>
        <v>-112.5</v>
      </c>
      <c r="E124" s="20" t="s">
        <v>44</v>
      </c>
      <c r="F124" s="20">
        <v>110</v>
      </c>
    </row>
    <row r="125" spans="1:6" x14ac:dyDescent="0.25">
      <c r="A125" s="10" t="s">
        <v>565</v>
      </c>
      <c r="B125" s="26"/>
      <c r="C125" s="12"/>
      <c r="D125" s="21"/>
      <c r="E125" s="20"/>
      <c r="F125" s="20"/>
    </row>
    <row r="126" spans="1:6" x14ac:dyDescent="0.25">
      <c r="A126" s="11"/>
      <c r="B126" s="26"/>
      <c r="C126" s="12" t="s">
        <v>566</v>
      </c>
      <c r="D126" s="21"/>
      <c r="E126" s="20"/>
      <c r="F126" s="20"/>
    </row>
    <row r="127" spans="1:6" x14ac:dyDescent="0.25">
      <c r="A127" s="11"/>
      <c r="B127" s="26"/>
      <c r="C127" s="12"/>
      <c r="D127" s="21"/>
      <c r="E127" s="20"/>
      <c r="F127" s="20"/>
    </row>
    <row r="128" spans="1:6" x14ac:dyDescent="0.25">
      <c r="A128" s="11"/>
      <c r="B128" s="26"/>
      <c r="C128" s="12" t="s">
        <v>566</v>
      </c>
      <c r="D128" s="21"/>
      <c r="E128" s="20"/>
      <c r="F128" s="20"/>
    </row>
    <row r="129" spans="1:6" ht="37.5" x14ac:dyDescent="0.25">
      <c r="A129" s="22" t="s">
        <v>17</v>
      </c>
    </row>
    <row r="130" spans="1:6" ht="15.75" thickBot="1" x14ac:dyDescent="0.3">
      <c r="A130" s="3" t="s">
        <v>563</v>
      </c>
      <c r="B130" s="4"/>
      <c r="C130" s="4" t="s">
        <v>8</v>
      </c>
      <c r="D130" s="4" t="s">
        <v>9</v>
      </c>
      <c r="E130" s="4" t="s">
        <v>10</v>
      </c>
      <c r="F130" s="4" t="s">
        <v>11</v>
      </c>
    </row>
    <row r="131" spans="1:6" x14ac:dyDescent="0.25">
      <c r="A131" s="5">
        <v>469</v>
      </c>
      <c r="B131" s="14">
        <v>10</v>
      </c>
      <c r="C131" s="8" t="s">
        <v>167</v>
      </c>
      <c r="D131" s="18">
        <f>14-105</f>
        <v>-91</v>
      </c>
      <c r="E131" s="18" t="s">
        <v>167</v>
      </c>
      <c r="F131" s="18">
        <v>750</v>
      </c>
    </row>
    <row r="132" spans="1:6" x14ac:dyDescent="0.25">
      <c r="A132" s="6" t="s">
        <v>567</v>
      </c>
      <c r="B132" s="13"/>
      <c r="C132" s="8"/>
      <c r="D132" s="17"/>
      <c r="E132" s="17"/>
      <c r="F132" s="17"/>
    </row>
    <row r="133" spans="1:6" x14ac:dyDescent="0.25">
      <c r="A133" s="7"/>
      <c r="B133" s="13"/>
      <c r="C133" s="8" t="s">
        <v>195</v>
      </c>
      <c r="D133" s="17"/>
      <c r="E133" s="17"/>
      <c r="F133" s="17"/>
    </row>
    <row r="134" spans="1:6" x14ac:dyDescent="0.25">
      <c r="A134" s="7"/>
      <c r="B134" s="13"/>
      <c r="C134" s="8"/>
      <c r="D134" s="17"/>
      <c r="E134" s="17"/>
      <c r="F134" s="17"/>
    </row>
    <row r="135" spans="1:6" x14ac:dyDescent="0.25">
      <c r="A135" s="7"/>
      <c r="B135" s="13"/>
      <c r="C135" s="8" t="s">
        <v>109</v>
      </c>
      <c r="D135" s="17"/>
      <c r="E135" s="17"/>
      <c r="F135" s="17"/>
    </row>
    <row r="136" spans="1:6" x14ac:dyDescent="0.25">
      <c r="A136" s="9">
        <v>470</v>
      </c>
      <c r="B136" s="19">
        <v>34</v>
      </c>
      <c r="C136" s="12">
        <f>-14-115</f>
        <v>-129</v>
      </c>
      <c r="D136" s="21">
        <f>-14-115</f>
        <v>-129</v>
      </c>
      <c r="E136" s="21" t="s">
        <v>328</v>
      </c>
      <c r="F136" s="21">
        <v>-1200</v>
      </c>
    </row>
    <row r="137" spans="1:6" x14ac:dyDescent="0.25">
      <c r="A137" s="10" t="s">
        <v>568</v>
      </c>
      <c r="B137" s="19"/>
      <c r="C137" s="12"/>
      <c r="D137" s="21"/>
      <c r="E137" s="21"/>
      <c r="F137" s="21"/>
    </row>
    <row r="138" spans="1:6" x14ac:dyDescent="0.25">
      <c r="A138" s="11"/>
      <c r="B138" s="19"/>
      <c r="C138" s="12">
        <f>-14-115</f>
        <v>-129</v>
      </c>
      <c r="D138" s="21"/>
      <c r="E138" s="21"/>
      <c r="F138" s="21"/>
    </row>
    <row r="139" spans="1:6" x14ac:dyDescent="0.25">
      <c r="A139" s="11"/>
      <c r="B139" s="19"/>
      <c r="C139" s="12"/>
      <c r="D139" s="21"/>
      <c r="E139" s="21"/>
      <c r="F139" s="21"/>
    </row>
    <row r="140" spans="1:6" x14ac:dyDescent="0.25">
      <c r="A140" s="11"/>
      <c r="B140" s="19"/>
      <c r="C140" s="12">
        <f>-14-115</f>
        <v>-129</v>
      </c>
      <c r="D140" s="21"/>
      <c r="E140" s="21"/>
      <c r="F140" s="21"/>
    </row>
    <row r="141" spans="1:6" ht="37.5" x14ac:dyDescent="0.25">
      <c r="A141" s="22" t="s">
        <v>17</v>
      </c>
    </row>
    <row r="142" spans="1:6" ht="15.75" thickBot="1" x14ac:dyDescent="0.3">
      <c r="A142" s="3" t="s">
        <v>569</v>
      </c>
      <c r="B142" s="4"/>
      <c r="C142" s="4" t="s">
        <v>8</v>
      </c>
      <c r="D142" s="4" t="s">
        <v>9</v>
      </c>
      <c r="E142" s="4" t="s">
        <v>10</v>
      </c>
      <c r="F142" s="4" t="s">
        <v>11</v>
      </c>
    </row>
    <row r="143" spans="1:6" x14ac:dyDescent="0.25">
      <c r="A143" s="5">
        <v>471</v>
      </c>
      <c r="B143" s="14">
        <v>21</v>
      </c>
      <c r="C143" s="8">
        <f>-2.5-105</f>
        <v>-107.5</v>
      </c>
      <c r="D143" s="18">
        <f>-2.5-110</f>
        <v>-112.5</v>
      </c>
      <c r="E143" s="18" t="s">
        <v>571</v>
      </c>
      <c r="F143" s="18">
        <v>-140</v>
      </c>
    </row>
    <row r="144" spans="1:6" x14ac:dyDescent="0.25">
      <c r="A144" s="6" t="s">
        <v>570</v>
      </c>
      <c r="B144" s="13"/>
      <c r="C144" s="8"/>
      <c r="D144" s="17"/>
      <c r="E144" s="17"/>
      <c r="F144" s="17"/>
    </row>
    <row r="145" spans="1:6" x14ac:dyDescent="0.25">
      <c r="A145" s="7"/>
      <c r="B145" s="13"/>
      <c r="C145" s="8">
        <f>-1.5-115</f>
        <v>-116.5</v>
      </c>
      <c r="D145" s="17"/>
      <c r="E145" s="17"/>
      <c r="F145" s="17"/>
    </row>
    <row r="146" spans="1:6" x14ac:dyDescent="0.25">
      <c r="A146" s="7"/>
      <c r="B146" s="13"/>
      <c r="C146" s="8"/>
      <c r="D146" s="17"/>
      <c r="E146" s="17"/>
      <c r="F146" s="17"/>
    </row>
    <row r="147" spans="1:6" x14ac:dyDescent="0.25">
      <c r="A147" s="7"/>
      <c r="B147" s="13"/>
      <c r="C147" s="8">
        <f>-2.5-105</f>
        <v>-107.5</v>
      </c>
      <c r="D147" s="17"/>
      <c r="E147" s="17"/>
      <c r="F147" s="17"/>
    </row>
    <row r="148" spans="1:6" x14ac:dyDescent="0.25">
      <c r="A148" s="9">
        <v>472</v>
      </c>
      <c r="B148" s="19">
        <v>28</v>
      </c>
      <c r="C148" s="12" t="s">
        <v>573</v>
      </c>
      <c r="D148" s="21">
        <f>2.5-120</f>
        <v>-117.5</v>
      </c>
      <c r="E148" s="21" t="s">
        <v>574</v>
      </c>
      <c r="F148" s="21">
        <v>110</v>
      </c>
    </row>
    <row r="149" spans="1:6" x14ac:dyDescent="0.25">
      <c r="A149" s="10" t="s">
        <v>572</v>
      </c>
      <c r="B149" s="19"/>
      <c r="C149" s="12"/>
      <c r="D149" s="21"/>
      <c r="E149" s="21"/>
      <c r="F149" s="21"/>
    </row>
    <row r="150" spans="1:6" x14ac:dyDescent="0.25">
      <c r="A150" s="11"/>
      <c r="B150" s="19"/>
      <c r="C150" s="12" t="s">
        <v>573</v>
      </c>
      <c r="D150" s="21"/>
      <c r="E150" s="21"/>
      <c r="F150" s="21"/>
    </row>
    <row r="151" spans="1:6" x14ac:dyDescent="0.25">
      <c r="A151" s="11"/>
      <c r="B151" s="19"/>
      <c r="C151" s="12"/>
      <c r="D151" s="21"/>
      <c r="E151" s="21"/>
      <c r="F151" s="21"/>
    </row>
    <row r="152" spans="1:6" x14ac:dyDescent="0.25">
      <c r="A152" s="11"/>
      <c r="B152" s="19"/>
      <c r="C152" s="12" t="s">
        <v>573</v>
      </c>
      <c r="D152" s="21"/>
      <c r="E152" s="21"/>
      <c r="F152" s="21"/>
    </row>
    <row r="153" spans="1:6" ht="37.5" x14ac:dyDescent="0.25">
      <c r="A153" s="22" t="s">
        <v>17</v>
      </c>
    </row>
    <row r="154" spans="1:6" ht="15.75" thickBot="1" x14ac:dyDescent="0.3">
      <c r="A154" s="3" t="s">
        <v>575</v>
      </c>
      <c r="B154" s="4"/>
      <c r="C154" s="4" t="s">
        <v>8</v>
      </c>
      <c r="D154" s="4" t="s">
        <v>9</v>
      </c>
      <c r="E154" s="4" t="s">
        <v>10</v>
      </c>
      <c r="F154" s="4" t="s">
        <v>11</v>
      </c>
    </row>
    <row r="155" spans="1:6" x14ac:dyDescent="0.25">
      <c r="A155" s="5">
        <v>473</v>
      </c>
      <c r="B155" s="25">
        <v>38</v>
      </c>
      <c r="C155" s="8">
        <f>-2.5-120</f>
        <v>-122.5</v>
      </c>
      <c r="D155" s="16">
        <f>-2.5-120</f>
        <v>-122.5</v>
      </c>
      <c r="E155" s="16" t="s">
        <v>463</v>
      </c>
      <c r="F155" s="16">
        <v>-148</v>
      </c>
    </row>
    <row r="156" spans="1:6" x14ac:dyDescent="0.25">
      <c r="A156" s="6" t="s">
        <v>576</v>
      </c>
      <c r="B156" s="24"/>
      <c r="C156" s="8"/>
      <c r="D156" s="15"/>
      <c r="E156" s="15"/>
      <c r="F156" s="15"/>
    </row>
    <row r="157" spans="1:6" x14ac:dyDescent="0.25">
      <c r="A157" s="7"/>
      <c r="B157" s="24"/>
      <c r="C157" s="8">
        <f>-2.5-120</f>
        <v>-122.5</v>
      </c>
      <c r="D157" s="15"/>
      <c r="E157" s="15"/>
      <c r="F157" s="15"/>
    </row>
    <row r="158" spans="1:6" x14ac:dyDescent="0.25">
      <c r="A158" s="7"/>
      <c r="B158" s="24"/>
      <c r="C158" s="8"/>
      <c r="D158" s="15"/>
      <c r="E158" s="15"/>
      <c r="F158" s="15"/>
    </row>
    <row r="159" spans="1:6" x14ac:dyDescent="0.25">
      <c r="A159" s="7"/>
      <c r="B159" s="24"/>
      <c r="C159" s="8">
        <f>-2.5-115</f>
        <v>-117.5</v>
      </c>
      <c r="D159" s="15"/>
      <c r="E159" s="15"/>
      <c r="F159" s="15"/>
    </row>
    <row r="160" spans="1:6" x14ac:dyDescent="0.25">
      <c r="A160" s="9">
        <v>474</v>
      </c>
      <c r="B160" s="26">
        <v>14</v>
      </c>
      <c r="C160" s="12" t="s">
        <v>463</v>
      </c>
      <c r="D160" s="20" t="s">
        <v>26</v>
      </c>
      <c r="E160" s="20" t="s">
        <v>428</v>
      </c>
      <c r="F160" s="20">
        <v>124</v>
      </c>
    </row>
    <row r="161" spans="1:6" x14ac:dyDescent="0.25">
      <c r="A161" s="10" t="s">
        <v>577</v>
      </c>
      <c r="B161" s="26"/>
      <c r="C161" s="12"/>
      <c r="D161" s="20"/>
      <c r="E161" s="20"/>
      <c r="F161" s="20"/>
    </row>
    <row r="162" spans="1:6" x14ac:dyDescent="0.25">
      <c r="A162" s="11"/>
      <c r="B162" s="26"/>
      <c r="C162" s="12" t="s">
        <v>24</v>
      </c>
      <c r="D162" s="20"/>
      <c r="E162" s="20"/>
      <c r="F162" s="20"/>
    </row>
    <row r="163" spans="1:6" x14ac:dyDescent="0.25">
      <c r="A163" s="11"/>
      <c r="B163" s="26"/>
      <c r="C163" s="12"/>
      <c r="D163" s="20"/>
      <c r="E163" s="20"/>
      <c r="F163" s="20"/>
    </row>
    <row r="164" spans="1:6" x14ac:dyDescent="0.25">
      <c r="A164" s="11"/>
      <c r="B164" s="26"/>
      <c r="C164" s="12" t="s">
        <v>24</v>
      </c>
      <c r="D164" s="20"/>
      <c r="E164" s="20"/>
      <c r="F164" s="20"/>
    </row>
    <row r="165" spans="1:6" ht="38.25" thickBot="1" x14ac:dyDescent="0.3">
      <c r="A165" s="22" t="s">
        <v>17</v>
      </c>
    </row>
    <row r="166" spans="1:6" ht="56.25" x14ac:dyDescent="0.25">
      <c r="A166" s="27" t="s">
        <v>174</v>
      </c>
    </row>
    <row r="167" spans="1:6" ht="15.75" thickBot="1" x14ac:dyDescent="0.3">
      <c r="A167" s="3" t="s">
        <v>578</v>
      </c>
      <c r="B167" s="4"/>
      <c r="C167" s="4" t="s">
        <v>8</v>
      </c>
      <c r="D167" s="4" t="s">
        <v>9</v>
      </c>
      <c r="E167" s="4" t="s">
        <v>10</v>
      </c>
      <c r="F167" s="4" t="s">
        <v>11</v>
      </c>
    </row>
    <row r="168" spans="1:6" x14ac:dyDescent="0.25">
      <c r="A168" s="5">
        <v>475</v>
      </c>
      <c r="B168" s="25">
        <v>27</v>
      </c>
      <c r="C168" s="8" t="s">
        <v>580</v>
      </c>
      <c r="D168" s="16">
        <f>3.5-115</f>
        <v>-111.5</v>
      </c>
      <c r="E168" s="18" t="s">
        <v>580</v>
      </c>
      <c r="F168" s="16">
        <v>145</v>
      </c>
    </row>
    <row r="169" spans="1:6" x14ac:dyDescent="0.25">
      <c r="A169" s="6" t="s">
        <v>579</v>
      </c>
      <c r="B169" s="24"/>
      <c r="C169" s="8"/>
      <c r="D169" s="15"/>
      <c r="E169" s="17"/>
      <c r="F169" s="15"/>
    </row>
    <row r="170" spans="1:6" x14ac:dyDescent="0.25">
      <c r="A170" s="7"/>
      <c r="B170" s="24"/>
      <c r="C170" s="8" t="s">
        <v>580</v>
      </c>
      <c r="D170" s="15"/>
      <c r="E170" s="17"/>
      <c r="F170" s="15"/>
    </row>
    <row r="171" spans="1:6" x14ac:dyDescent="0.25">
      <c r="A171" s="7"/>
      <c r="B171" s="24"/>
      <c r="C171" s="8"/>
      <c r="D171" s="15"/>
      <c r="E171" s="17"/>
      <c r="F171" s="15"/>
    </row>
    <row r="172" spans="1:6" x14ac:dyDescent="0.25">
      <c r="A172" s="7"/>
      <c r="B172" s="24"/>
      <c r="C172" s="8" t="s">
        <v>580</v>
      </c>
      <c r="D172" s="15"/>
      <c r="E172" s="17"/>
      <c r="F172" s="15"/>
    </row>
    <row r="173" spans="1:6" x14ac:dyDescent="0.25">
      <c r="A173" s="9">
        <v>476</v>
      </c>
      <c r="B173" s="26">
        <v>17</v>
      </c>
      <c r="C173" s="12">
        <f>-3.5-105</f>
        <v>-108.5</v>
      </c>
      <c r="D173" s="20">
        <f>-3.5-105</f>
        <v>-108.5</v>
      </c>
      <c r="E173" s="21" t="s">
        <v>582</v>
      </c>
      <c r="F173" s="20">
        <v>-175</v>
      </c>
    </row>
    <row r="174" spans="1:6" x14ac:dyDescent="0.25">
      <c r="A174" s="10" t="s">
        <v>581</v>
      </c>
      <c r="B174" s="26"/>
      <c r="C174" s="12"/>
      <c r="D174" s="20"/>
      <c r="E174" s="21"/>
      <c r="F174" s="20"/>
    </row>
    <row r="175" spans="1:6" x14ac:dyDescent="0.25">
      <c r="A175" s="11"/>
      <c r="B175" s="26"/>
      <c r="C175" s="12">
        <f>-3-120</f>
        <v>-123</v>
      </c>
      <c r="D175" s="20"/>
      <c r="E175" s="21"/>
      <c r="F175" s="20"/>
    </row>
    <row r="176" spans="1:6" x14ac:dyDescent="0.25">
      <c r="A176" s="11"/>
      <c r="B176" s="26"/>
      <c r="C176" s="12"/>
      <c r="D176" s="20"/>
      <c r="E176" s="21"/>
      <c r="F176" s="20"/>
    </row>
    <row r="177" spans="1:6" x14ac:dyDescent="0.25">
      <c r="A177" s="11"/>
      <c r="B177" s="26"/>
      <c r="C177" s="12">
        <f>-3.5-108</f>
        <v>-111.5</v>
      </c>
      <c r="D177" s="20"/>
      <c r="E177" s="21"/>
      <c r="F177" s="20"/>
    </row>
  </sheetData>
  <mergeCells count="112">
    <mergeCell ref="B168:B172"/>
    <mergeCell ref="D168:D172"/>
    <mergeCell ref="E168:E172"/>
    <mergeCell ref="F168:F172"/>
    <mergeCell ref="B173:B177"/>
    <mergeCell ref="D173:D177"/>
    <mergeCell ref="E173:E177"/>
    <mergeCell ref="F173:F177"/>
    <mergeCell ref="B155:B159"/>
    <mergeCell ref="D155:D159"/>
    <mergeCell ref="E155:E159"/>
    <mergeCell ref="F155:F159"/>
    <mergeCell ref="B160:B164"/>
    <mergeCell ref="D160:D164"/>
    <mergeCell ref="E160:E164"/>
    <mergeCell ref="F160:F164"/>
    <mergeCell ref="B143:B147"/>
    <mergeCell ref="D143:D147"/>
    <mergeCell ref="E143:E147"/>
    <mergeCell ref="F143:F147"/>
    <mergeCell ref="B148:B152"/>
    <mergeCell ref="D148:D152"/>
    <mergeCell ref="E148:E152"/>
    <mergeCell ref="F148:F152"/>
    <mergeCell ref="B131:B135"/>
    <mergeCell ref="D131:D135"/>
    <mergeCell ref="E131:E135"/>
    <mergeCell ref="F131:F135"/>
    <mergeCell ref="B136:B140"/>
    <mergeCell ref="D136:D140"/>
    <mergeCell ref="E136:E140"/>
    <mergeCell ref="F136:F140"/>
    <mergeCell ref="B119:B123"/>
    <mergeCell ref="D119:D123"/>
    <mergeCell ref="E119:E123"/>
    <mergeCell ref="F119:F123"/>
    <mergeCell ref="B124:B128"/>
    <mergeCell ref="D124:D128"/>
    <mergeCell ref="E124:E128"/>
    <mergeCell ref="F124:F128"/>
    <mergeCell ref="B107:B111"/>
    <mergeCell ref="D107:D111"/>
    <mergeCell ref="E107:E111"/>
    <mergeCell ref="F107:F111"/>
    <mergeCell ref="B112:B116"/>
    <mergeCell ref="D112:D116"/>
    <mergeCell ref="E112:E116"/>
    <mergeCell ref="F112:F116"/>
    <mergeCell ref="B95:B99"/>
    <mergeCell ref="D95:D99"/>
    <mergeCell ref="E95:E99"/>
    <mergeCell ref="F95:F99"/>
    <mergeCell ref="B100:B104"/>
    <mergeCell ref="D100:D104"/>
    <mergeCell ref="E100:E104"/>
    <mergeCell ref="F100:F104"/>
    <mergeCell ref="B83:B87"/>
    <mergeCell ref="D83:D87"/>
    <mergeCell ref="E83:E87"/>
    <mergeCell ref="F83:F87"/>
    <mergeCell ref="B88:B92"/>
    <mergeCell ref="D88:D92"/>
    <mergeCell ref="E88:E92"/>
    <mergeCell ref="F88:F92"/>
    <mergeCell ref="B71:B75"/>
    <mergeCell ref="D71:D75"/>
    <mergeCell ref="E71:E75"/>
    <mergeCell ref="F71:F75"/>
    <mergeCell ref="B76:B80"/>
    <mergeCell ref="D76:D80"/>
    <mergeCell ref="E76:E80"/>
    <mergeCell ref="F76:F80"/>
    <mergeCell ref="B59:B63"/>
    <mergeCell ref="D59:D63"/>
    <mergeCell ref="E59:E63"/>
    <mergeCell ref="F59:F63"/>
    <mergeCell ref="B64:B68"/>
    <mergeCell ref="D64:D68"/>
    <mergeCell ref="E64:E68"/>
    <mergeCell ref="F64:F68"/>
    <mergeCell ref="B47:B51"/>
    <mergeCell ref="D47:D51"/>
    <mergeCell ref="E47:E51"/>
    <mergeCell ref="F47:F51"/>
    <mergeCell ref="B52:B56"/>
    <mergeCell ref="D52:D56"/>
    <mergeCell ref="E52:E56"/>
    <mergeCell ref="F52:F56"/>
    <mergeCell ref="B35:B39"/>
    <mergeCell ref="D35:D39"/>
    <mergeCell ref="E35:E39"/>
    <mergeCell ref="F35:F39"/>
    <mergeCell ref="B40:B44"/>
    <mergeCell ref="D40:D44"/>
    <mergeCell ref="E40:E44"/>
    <mergeCell ref="F40:F44"/>
    <mergeCell ref="B23:B27"/>
    <mergeCell ref="D23:D27"/>
    <mergeCell ref="E23:E27"/>
    <mergeCell ref="F23:F27"/>
    <mergeCell ref="B28:B32"/>
    <mergeCell ref="D28:D32"/>
    <mergeCell ref="E28:E32"/>
    <mergeCell ref="F28:F32"/>
    <mergeCell ref="B9:B13"/>
    <mergeCell ref="D9:D13"/>
    <mergeCell ref="E9:E13"/>
    <mergeCell ref="F9:F13"/>
    <mergeCell ref="B14:B18"/>
    <mergeCell ref="D14:D18"/>
    <mergeCell ref="E14:E18"/>
    <mergeCell ref="F14:F18"/>
  </mergeCells>
  <hyperlinks>
    <hyperlink ref="A2" r:id="rId1" display="https://www.scoresandodds.com/nfl/odds" xr:uid="{B0BDCA06-2A1E-4848-86FA-88D3E302845C}"/>
    <hyperlink ref="A3" r:id="rId2" display="https://www.scoresandodds.com/nfl/consensus-picks" xr:uid="{80A0A86D-ED55-4A02-A676-0E31A049A9AA}"/>
    <hyperlink ref="A4" r:id="rId3" display="https://www.scoresandodds.com/nfl/more-lines" xr:uid="{7EC45DCD-C5EC-4B3B-B137-295EE528A90C}"/>
    <hyperlink ref="A5" r:id="rId4" display="https://www.scoresandodds.com/nfl/props" xr:uid="{ED3E745A-AC7F-4B84-9A99-0515CD6A49D2}"/>
    <hyperlink ref="A6" r:id="rId5" display="https://www.scoresandodds.com/nfl/parlays" xr:uid="{3027A324-36AB-4942-A818-1EC9351E2157}"/>
    <hyperlink ref="A7" r:id="rId6" display="https://www.scoresandodds.com/nfl/picks" xr:uid="{28634E96-6B61-4CFC-9481-26B7E49E70CD}"/>
    <hyperlink ref="A10" r:id="rId7" display="https://www.scoresandodds.com/nfl/teams/ravens" xr:uid="{F3D7AD1D-8EBC-496C-8EB3-0AB9A255FDFA}"/>
    <hyperlink ref="A15" r:id="rId8" display="https://www.scoresandodds.com/nfl/teams/dolphins" xr:uid="{7097DFDE-F954-4AFB-99AB-977E61418A08}"/>
    <hyperlink ref="A24" r:id="rId9" display="https://www.scoresandodds.com/nfl/teams/colts" xr:uid="{78C83EFF-9381-4970-BDCE-354272FE8D38}"/>
    <hyperlink ref="A29" r:id="rId10" display="https://www.scoresandodds.com/nfl/teams/steelers" xr:uid="{D6213FA7-B2F7-4E2D-A9C5-2A0540A2B75F}"/>
    <hyperlink ref="A36" r:id="rId11" display="https://www.scoresandodds.com/nfl/teams/bears" xr:uid="{E1D99101-DFB8-471E-A467-EB5C04EDA397}"/>
    <hyperlink ref="A41" r:id="rId12" display="https://www.scoresandodds.com/nfl/teams/bengals" xr:uid="{E8163651-E034-4F48-ADF1-8A5454781FF2}"/>
    <hyperlink ref="A48" r:id="rId13" display="https://www.scoresandodds.com/nfl/teams/chargers" xr:uid="{15D4A020-BC9E-4D94-BAE3-0BB6228E5559}"/>
    <hyperlink ref="A53" r:id="rId14" display="https://www.scoresandodds.com/nfl/teams/titans" xr:uid="{93F2590E-7D99-4220-B103-1F8670FE5D5E}"/>
    <hyperlink ref="A60" r:id="rId15" display="https://www.scoresandodds.com/nfl/teams/broncos" xr:uid="{22BABE29-D977-4CFD-B9C4-A71A7C3EFABB}"/>
    <hyperlink ref="A65" r:id="rId16" display="https://www.scoresandodds.com/nfl/teams/texans" xr:uid="{785ABC81-3250-40FA-8E0E-E1C0363F4EA6}"/>
    <hyperlink ref="A72" r:id="rId17" display="https://www.scoresandodds.com/nfl/teams/falcons" xr:uid="{8277A91B-4361-46DC-A04A-029262BC16AA}"/>
    <hyperlink ref="A77" r:id="rId18" display="https://www.scoresandodds.com/nfl/teams/patriots" xr:uid="{8864D7D4-5C7E-481C-BB61-34DB4BDB3540}"/>
    <hyperlink ref="A84" r:id="rId19" display="https://www.scoresandodds.com/nfl/teams/vikings" xr:uid="{169E91A0-B396-44B4-9CEB-A40D0969F0CF}"/>
    <hyperlink ref="A89" r:id="rId20" display="https://www.scoresandodds.com/nfl/teams/lions" xr:uid="{2F5FA361-58C4-41A1-A199-AC1EE64480DD}"/>
    <hyperlink ref="A96" r:id="rId21" display="https://www.scoresandodds.com/nfl/teams/49ers" xr:uid="{09C5C432-1308-4199-9632-CA6B0AE0D2CB}"/>
    <hyperlink ref="A101" r:id="rId22" display="https://www.scoresandodds.com/nfl/teams/giants" xr:uid="{BE870A15-CACB-4DA6-9106-138AA1523B2A}"/>
    <hyperlink ref="A108" r:id="rId23" display="https://www.scoresandodds.com/nfl/teams/panthers" xr:uid="{862C1C84-DFE3-445C-8A75-BAC2A2F60CEC}"/>
    <hyperlink ref="A113" r:id="rId24" display="https://www.scoresandodds.com/nfl/teams/packers" xr:uid="{C7A96D96-45BF-4871-B717-53BE8088CCF5}"/>
    <hyperlink ref="A120" r:id="rId25" display="https://www.scoresandodds.com/nfl/teams/jaguars" xr:uid="{C9842B59-7D09-4007-A914-16745487CEB2}"/>
    <hyperlink ref="A125" r:id="rId26" display="https://www.scoresandodds.com/nfl/teams/raiders" xr:uid="{D5703EEF-F589-451B-BE56-99B3D7887961}"/>
    <hyperlink ref="A132" r:id="rId27" display="https://www.scoresandodds.com/nfl/teams/saints" xr:uid="{DF68E075-DD38-4F60-929D-D8B90962D166}"/>
    <hyperlink ref="A137" r:id="rId28" display="https://www.scoresandodds.com/nfl/teams/rams" xr:uid="{0803FCD3-3A17-454F-BC00-17D3F111290B}"/>
    <hyperlink ref="A144" r:id="rId29" display="https://www.scoresandodds.com/nfl/teams/chiefs" xr:uid="{BC512926-A579-405D-AB6E-E277716974BE}"/>
    <hyperlink ref="A149" r:id="rId30" display="https://www.scoresandodds.com/nfl/teams/bills" xr:uid="{D9A3816F-1224-4217-9BE0-467DE9CB6D47}"/>
    <hyperlink ref="A156" r:id="rId31" display="https://www.scoresandodds.com/nfl/teams/seahawks" xr:uid="{D28D8F5A-1B62-4E1E-9E2A-473F4AAA9C6F}"/>
    <hyperlink ref="A161" r:id="rId32" display="https://www.scoresandodds.com/nfl/teams/commanders" xr:uid="{67326B2A-E4D3-4214-9968-A04735106789}"/>
    <hyperlink ref="A169" r:id="rId33" display="https://www.scoresandodds.com/nfl/teams/cardinals" xr:uid="{F501BB2D-E14D-4FE9-8DBB-10AC48ACAA6B}"/>
    <hyperlink ref="A174" r:id="rId34" display="https://www.scoresandodds.com/nfl/teams/cowboys" xr:uid="{5D60944A-E472-471E-8DCC-B4BF0F15450C}"/>
  </hyperlinks>
  <pageMargins left="0.7" right="0.7" top="0.75" bottom="0.75" header="0.3" footer="0.3"/>
  <drawing r:id="rId3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9D8A-24EA-4644-A0C9-31DCB46419DD}">
  <dimension ref="A1:F177"/>
  <sheetViews>
    <sheetView workbookViewId="0">
      <selection sqref="A1:F177"/>
    </sheetView>
  </sheetViews>
  <sheetFormatPr baseColWidth="10" defaultRowHeight="15" x14ac:dyDescent="0.25"/>
  <cols>
    <col min="1" max="1" width="70.5703125" bestFit="1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3" spans="1:6" x14ac:dyDescent="0.25">
      <c r="A3" s="2" t="s">
        <v>2</v>
      </c>
    </row>
    <row r="4" spans="1:6" x14ac:dyDescent="0.25">
      <c r="A4" s="2" t="s">
        <v>3</v>
      </c>
    </row>
    <row r="5" spans="1:6" x14ac:dyDescent="0.25">
      <c r="A5" s="2" t="s">
        <v>4</v>
      </c>
    </row>
    <row r="6" spans="1:6" x14ac:dyDescent="0.25">
      <c r="A6" s="2" t="s">
        <v>5</v>
      </c>
    </row>
    <row r="7" spans="1:6" x14ac:dyDescent="0.25">
      <c r="A7" s="2" t="s">
        <v>6</v>
      </c>
    </row>
    <row r="8" spans="1:6" ht="15.75" thickBot="1" x14ac:dyDescent="0.3">
      <c r="A8" s="3" t="s">
        <v>498</v>
      </c>
      <c r="B8" s="4"/>
      <c r="C8" s="4" t="s">
        <v>8</v>
      </c>
      <c r="D8" s="4" t="s">
        <v>9</v>
      </c>
      <c r="E8" s="4" t="s">
        <v>10</v>
      </c>
      <c r="F8" s="4" t="s">
        <v>11</v>
      </c>
    </row>
    <row r="9" spans="1:6" x14ac:dyDescent="0.25">
      <c r="A9" s="5">
        <v>109</v>
      </c>
      <c r="B9" s="14">
        <v>7</v>
      </c>
      <c r="C9" s="8" t="s">
        <v>316</v>
      </c>
      <c r="D9" s="16">
        <f>9.5-115</f>
        <v>-105.5</v>
      </c>
      <c r="E9" s="18" t="s">
        <v>316</v>
      </c>
      <c r="F9" s="18">
        <v>360</v>
      </c>
    </row>
    <row r="10" spans="1:6" x14ac:dyDescent="0.25">
      <c r="A10" s="6" t="s">
        <v>499</v>
      </c>
      <c r="B10" s="13"/>
      <c r="C10" s="8"/>
      <c r="D10" s="15"/>
      <c r="E10" s="17"/>
      <c r="F10" s="17"/>
    </row>
    <row r="11" spans="1:6" x14ac:dyDescent="0.25">
      <c r="A11" s="7"/>
      <c r="B11" s="13"/>
      <c r="C11" s="8" t="s">
        <v>316</v>
      </c>
      <c r="D11" s="15"/>
      <c r="E11" s="17"/>
      <c r="F11" s="17"/>
    </row>
    <row r="12" spans="1:6" x14ac:dyDescent="0.25">
      <c r="A12" s="7"/>
      <c r="B12" s="13"/>
      <c r="C12" s="8"/>
      <c r="D12" s="15"/>
      <c r="E12" s="17"/>
      <c r="F12" s="17"/>
    </row>
    <row r="13" spans="1:6" x14ac:dyDescent="0.25">
      <c r="A13" s="7"/>
      <c r="B13" s="13"/>
      <c r="C13" s="8" t="s">
        <v>316</v>
      </c>
      <c r="D13" s="15"/>
      <c r="E13" s="17"/>
      <c r="F13" s="17"/>
    </row>
    <row r="14" spans="1:6" x14ac:dyDescent="0.25">
      <c r="A14" s="9">
        <v>110</v>
      </c>
      <c r="B14" s="19">
        <v>10</v>
      </c>
      <c r="C14" s="12">
        <f>-9.5-105</f>
        <v>-114.5</v>
      </c>
      <c r="D14" s="20">
        <f>-9.5-105</f>
        <v>-114.5</v>
      </c>
      <c r="E14" s="21" t="s">
        <v>501</v>
      </c>
      <c r="F14" s="21">
        <v>-470</v>
      </c>
    </row>
    <row r="15" spans="1:6" x14ac:dyDescent="0.25">
      <c r="A15" s="10" t="s">
        <v>500</v>
      </c>
      <c r="B15" s="19"/>
      <c r="C15" s="12"/>
      <c r="D15" s="20"/>
      <c r="E15" s="21"/>
      <c r="F15" s="21"/>
    </row>
    <row r="16" spans="1:6" x14ac:dyDescent="0.25">
      <c r="A16" s="11"/>
      <c r="B16" s="19"/>
      <c r="C16" s="12">
        <f>-9.5-110</f>
        <v>-119.5</v>
      </c>
      <c r="D16" s="20"/>
      <c r="E16" s="21"/>
      <c r="F16" s="21"/>
    </row>
    <row r="17" spans="1:6" x14ac:dyDescent="0.25">
      <c r="A17" s="11"/>
      <c r="B17" s="19"/>
      <c r="C17" s="12"/>
      <c r="D17" s="20"/>
      <c r="E17" s="21"/>
      <c r="F17" s="21"/>
    </row>
    <row r="18" spans="1:6" x14ac:dyDescent="0.25">
      <c r="A18" s="11"/>
      <c r="B18" s="19"/>
      <c r="C18" s="12">
        <f>-9.5-110</f>
        <v>-119.5</v>
      </c>
      <c r="D18" s="20"/>
      <c r="E18" s="21"/>
      <c r="F18" s="21"/>
    </row>
    <row r="19" spans="1:6" ht="38.25" thickBot="1" x14ac:dyDescent="0.3">
      <c r="A19" s="22" t="s">
        <v>17</v>
      </c>
    </row>
    <row r="20" spans="1:6" ht="67.5" x14ac:dyDescent="0.25">
      <c r="A20" s="27" t="s">
        <v>116</v>
      </c>
    </row>
    <row r="21" spans="1:6" x14ac:dyDescent="0.25">
      <c r="A21" s="23" t="s">
        <v>102</v>
      </c>
    </row>
    <row r="22" spans="1:6" ht="15.75" thickBot="1" x14ac:dyDescent="0.3">
      <c r="A22" s="3" t="s">
        <v>502</v>
      </c>
      <c r="B22" s="4"/>
      <c r="C22" s="4" t="s">
        <v>8</v>
      </c>
      <c r="D22" s="4" t="s">
        <v>9</v>
      </c>
      <c r="E22" s="4" t="s">
        <v>10</v>
      </c>
      <c r="F22" s="4" t="s">
        <v>11</v>
      </c>
    </row>
    <row r="23" spans="1:6" x14ac:dyDescent="0.25">
      <c r="A23" s="5">
        <v>251</v>
      </c>
      <c r="B23" s="14">
        <v>25</v>
      </c>
      <c r="C23" s="8" t="s">
        <v>492</v>
      </c>
      <c r="D23" s="16">
        <f>6.5-112</f>
        <v>-105.5</v>
      </c>
      <c r="E23" s="16" t="s">
        <v>491</v>
      </c>
      <c r="F23" s="18">
        <v>250</v>
      </c>
    </row>
    <row r="24" spans="1:6" x14ac:dyDescent="0.25">
      <c r="A24" s="6" t="s">
        <v>503</v>
      </c>
      <c r="B24" s="13"/>
      <c r="C24" s="8"/>
      <c r="D24" s="15"/>
      <c r="E24" s="15"/>
      <c r="F24" s="17"/>
    </row>
    <row r="25" spans="1:6" x14ac:dyDescent="0.25">
      <c r="A25" s="7"/>
      <c r="B25" s="13"/>
      <c r="C25" s="8" t="s">
        <v>492</v>
      </c>
      <c r="D25" s="15"/>
      <c r="E25" s="15"/>
      <c r="F25" s="17"/>
    </row>
    <row r="26" spans="1:6" x14ac:dyDescent="0.25">
      <c r="A26" s="7"/>
      <c r="B26" s="13"/>
      <c r="C26" s="8"/>
      <c r="D26" s="15"/>
      <c r="E26" s="15"/>
      <c r="F26" s="17"/>
    </row>
    <row r="27" spans="1:6" x14ac:dyDescent="0.25">
      <c r="A27" s="7"/>
      <c r="B27" s="13"/>
      <c r="C27" s="8" t="s">
        <v>492</v>
      </c>
      <c r="D27" s="15"/>
      <c r="E27" s="15"/>
      <c r="F27" s="17"/>
    </row>
    <row r="28" spans="1:6" x14ac:dyDescent="0.25">
      <c r="A28" s="9">
        <v>252</v>
      </c>
      <c r="B28" s="19">
        <v>31</v>
      </c>
      <c r="C28" s="12">
        <f>-6.5-108</f>
        <v>-114.5</v>
      </c>
      <c r="D28" s="20">
        <f>-6.5-108</f>
        <v>-114.5</v>
      </c>
      <c r="E28" s="20" t="s">
        <v>492</v>
      </c>
      <c r="F28" s="21">
        <v>-325</v>
      </c>
    </row>
    <row r="29" spans="1:6" x14ac:dyDescent="0.25">
      <c r="A29" s="10" t="s">
        <v>504</v>
      </c>
      <c r="B29" s="19"/>
      <c r="C29" s="12"/>
      <c r="D29" s="20"/>
      <c r="E29" s="20"/>
      <c r="F29" s="21"/>
    </row>
    <row r="30" spans="1:6" x14ac:dyDescent="0.25">
      <c r="A30" s="11"/>
      <c r="B30" s="19"/>
      <c r="C30" s="12">
        <f>-6.5-108</f>
        <v>-114.5</v>
      </c>
      <c r="D30" s="20"/>
      <c r="E30" s="20"/>
      <c r="F30" s="21"/>
    </row>
    <row r="31" spans="1:6" x14ac:dyDescent="0.25">
      <c r="A31" s="11"/>
      <c r="B31" s="19"/>
      <c r="C31" s="12"/>
      <c r="D31" s="20"/>
      <c r="E31" s="20"/>
      <c r="F31" s="21"/>
    </row>
    <row r="32" spans="1:6" x14ac:dyDescent="0.25">
      <c r="A32" s="11"/>
      <c r="B32" s="19"/>
      <c r="C32" s="12">
        <f>-6.5-108</f>
        <v>-114.5</v>
      </c>
      <c r="D32" s="20"/>
      <c r="E32" s="20"/>
      <c r="F32" s="21"/>
    </row>
    <row r="33" spans="1:6" ht="37.5" x14ac:dyDescent="0.25">
      <c r="A33" s="22" t="s">
        <v>17</v>
      </c>
    </row>
    <row r="34" spans="1:6" ht="15.75" thickBot="1" x14ac:dyDescent="0.3">
      <c r="A34" s="3" t="s">
        <v>505</v>
      </c>
      <c r="B34" s="4"/>
      <c r="C34" s="4" t="s">
        <v>8</v>
      </c>
      <c r="D34" s="4" t="s">
        <v>9</v>
      </c>
      <c r="E34" s="4" t="s">
        <v>10</v>
      </c>
      <c r="F34" s="4" t="s">
        <v>11</v>
      </c>
    </row>
    <row r="35" spans="1:6" x14ac:dyDescent="0.25">
      <c r="A35" s="5">
        <v>257</v>
      </c>
      <c r="B35" s="14">
        <v>13</v>
      </c>
      <c r="C35" s="8">
        <f>-8.5-105</f>
        <v>-113.5</v>
      </c>
      <c r="D35" s="18">
        <f>-8.5-105</f>
        <v>-113.5</v>
      </c>
      <c r="E35" s="18" t="s">
        <v>46</v>
      </c>
      <c r="F35" s="18">
        <v>-440</v>
      </c>
    </row>
    <row r="36" spans="1:6" x14ac:dyDescent="0.25">
      <c r="A36" s="6" t="s">
        <v>506</v>
      </c>
      <c r="B36" s="13"/>
      <c r="C36" s="8"/>
      <c r="D36" s="17"/>
      <c r="E36" s="17"/>
      <c r="F36" s="17"/>
    </row>
    <row r="37" spans="1:6" x14ac:dyDescent="0.25">
      <c r="A37" s="7"/>
      <c r="B37" s="13"/>
      <c r="C37" s="8">
        <f>-8.5-105</f>
        <v>-113.5</v>
      </c>
      <c r="D37" s="17"/>
      <c r="E37" s="17"/>
      <c r="F37" s="17"/>
    </row>
    <row r="38" spans="1:6" x14ac:dyDescent="0.25">
      <c r="A38" s="7"/>
      <c r="B38" s="13"/>
      <c r="C38" s="8"/>
      <c r="D38" s="17"/>
      <c r="E38" s="17"/>
      <c r="F38" s="17"/>
    </row>
    <row r="39" spans="1:6" x14ac:dyDescent="0.25">
      <c r="A39" s="7"/>
      <c r="B39" s="13"/>
      <c r="C39" s="8">
        <f>-8.5-105</f>
        <v>-113.5</v>
      </c>
      <c r="D39" s="17"/>
      <c r="E39" s="17"/>
      <c r="F39" s="17"/>
    </row>
    <row r="40" spans="1:6" x14ac:dyDescent="0.25">
      <c r="A40" s="9">
        <v>258</v>
      </c>
      <c r="B40" s="19">
        <v>30</v>
      </c>
      <c r="C40" s="12" t="s">
        <v>46</v>
      </c>
      <c r="D40" s="21">
        <f>8.5-115</f>
        <v>-106.5</v>
      </c>
      <c r="E40" s="21" t="s">
        <v>49</v>
      </c>
      <c r="F40" s="21">
        <v>350</v>
      </c>
    </row>
    <row r="41" spans="1:6" x14ac:dyDescent="0.25">
      <c r="A41" s="10" t="s">
        <v>507</v>
      </c>
      <c r="B41" s="19"/>
      <c r="C41" s="12"/>
      <c r="D41" s="21"/>
      <c r="E41" s="21"/>
      <c r="F41" s="21"/>
    </row>
    <row r="42" spans="1:6" x14ac:dyDescent="0.25">
      <c r="A42" s="11"/>
      <c r="B42" s="19"/>
      <c r="C42" s="12" t="s">
        <v>280</v>
      </c>
      <c r="D42" s="21"/>
      <c r="E42" s="21"/>
      <c r="F42" s="21"/>
    </row>
    <row r="43" spans="1:6" x14ac:dyDescent="0.25">
      <c r="A43" s="11"/>
      <c r="B43" s="19"/>
      <c r="C43" s="12"/>
      <c r="D43" s="21"/>
      <c r="E43" s="21"/>
      <c r="F43" s="21"/>
    </row>
    <row r="44" spans="1:6" x14ac:dyDescent="0.25">
      <c r="A44" s="11"/>
      <c r="B44" s="19"/>
      <c r="C44" s="12" t="s">
        <v>46</v>
      </c>
      <c r="D44" s="21"/>
      <c r="E44" s="21"/>
      <c r="F44" s="21"/>
    </row>
    <row r="45" spans="1:6" ht="37.5" x14ac:dyDescent="0.25">
      <c r="A45" s="22" t="s">
        <v>17</v>
      </c>
    </row>
    <row r="46" spans="1:6" ht="15.75" thickBot="1" x14ac:dyDescent="0.3">
      <c r="A46" s="3" t="s">
        <v>505</v>
      </c>
      <c r="B46" s="4"/>
      <c r="C46" s="4" t="s">
        <v>8</v>
      </c>
      <c r="D46" s="4" t="s">
        <v>9</v>
      </c>
      <c r="E46" s="4" t="s">
        <v>10</v>
      </c>
      <c r="F46" s="4" t="s">
        <v>11</v>
      </c>
    </row>
    <row r="47" spans="1:6" x14ac:dyDescent="0.25">
      <c r="A47" s="5">
        <v>255</v>
      </c>
      <c r="B47" s="25">
        <v>17</v>
      </c>
      <c r="C47" s="8" t="s">
        <v>35</v>
      </c>
      <c r="D47" s="16">
        <f>5.5-112</f>
        <v>-106.5</v>
      </c>
      <c r="E47" s="18" t="s">
        <v>35</v>
      </c>
      <c r="F47" s="16">
        <v>200</v>
      </c>
    </row>
    <row r="48" spans="1:6" x14ac:dyDescent="0.25">
      <c r="A48" s="6" t="s">
        <v>508</v>
      </c>
      <c r="B48" s="24"/>
      <c r="C48" s="8"/>
      <c r="D48" s="15"/>
      <c r="E48" s="17"/>
      <c r="F48" s="15"/>
    </row>
    <row r="49" spans="1:6" x14ac:dyDescent="0.25">
      <c r="A49" s="7"/>
      <c r="B49" s="24"/>
      <c r="C49" s="8" t="s">
        <v>150</v>
      </c>
      <c r="D49" s="15"/>
      <c r="E49" s="17"/>
      <c r="F49" s="15"/>
    </row>
    <row r="50" spans="1:6" x14ac:dyDescent="0.25">
      <c r="A50" s="7"/>
      <c r="B50" s="24"/>
      <c r="C50" s="8"/>
      <c r="D50" s="15"/>
      <c r="E50" s="17"/>
      <c r="F50" s="15"/>
    </row>
    <row r="51" spans="1:6" x14ac:dyDescent="0.25">
      <c r="A51" s="7"/>
      <c r="B51" s="24"/>
      <c r="C51" s="8" t="s">
        <v>79</v>
      </c>
      <c r="D51" s="15"/>
      <c r="E51" s="17"/>
      <c r="F51" s="15"/>
    </row>
    <row r="52" spans="1:6" x14ac:dyDescent="0.25">
      <c r="A52" s="9">
        <v>256</v>
      </c>
      <c r="B52" s="26">
        <v>7</v>
      </c>
      <c r="C52" s="12">
        <f>-5.5-108</f>
        <v>-113.5</v>
      </c>
      <c r="D52" s="20">
        <f>-5.5-108</f>
        <v>-113.5</v>
      </c>
      <c r="E52" s="21" t="s">
        <v>37</v>
      </c>
      <c r="F52" s="20">
        <v>-245</v>
      </c>
    </row>
    <row r="53" spans="1:6" x14ac:dyDescent="0.25">
      <c r="A53" s="10" t="s">
        <v>509</v>
      </c>
      <c r="B53" s="26"/>
      <c r="C53" s="12"/>
      <c r="D53" s="20"/>
      <c r="E53" s="21"/>
      <c r="F53" s="20"/>
    </row>
    <row r="54" spans="1:6" x14ac:dyDescent="0.25">
      <c r="A54" s="11"/>
      <c r="B54" s="26"/>
      <c r="C54" s="12">
        <f>-5.5-108</f>
        <v>-113.5</v>
      </c>
      <c r="D54" s="20"/>
      <c r="E54" s="21"/>
      <c r="F54" s="20"/>
    </row>
    <row r="55" spans="1:6" x14ac:dyDescent="0.25">
      <c r="A55" s="11"/>
      <c r="B55" s="26"/>
      <c r="C55" s="12"/>
      <c r="D55" s="20"/>
      <c r="E55" s="21"/>
      <c r="F55" s="20"/>
    </row>
    <row r="56" spans="1:6" x14ac:dyDescent="0.25">
      <c r="A56" s="11"/>
      <c r="B56" s="26"/>
      <c r="C56" s="12">
        <f>-5.5-108</f>
        <v>-113.5</v>
      </c>
      <c r="D56" s="20"/>
      <c r="E56" s="21"/>
      <c r="F56" s="20"/>
    </row>
    <row r="57" spans="1:6" ht="37.5" x14ac:dyDescent="0.25">
      <c r="A57" s="22" t="s">
        <v>17</v>
      </c>
    </row>
    <row r="58" spans="1:6" ht="15.75" thickBot="1" x14ac:dyDescent="0.3">
      <c r="A58" s="3" t="s">
        <v>505</v>
      </c>
      <c r="B58" s="4"/>
      <c r="C58" s="4" t="s">
        <v>8</v>
      </c>
      <c r="D58" s="4" t="s">
        <v>9</v>
      </c>
      <c r="E58" s="4" t="s">
        <v>10</v>
      </c>
      <c r="F58" s="4" t="s">
        <v>11</v>
      </c>
    </row>
    <row r="59" spans="1:6" x14ac:dyDescent="0.25">
      <c r="A59" s="5">
        <v>261</v>
      </c>
      <c r="B59" s="25">
        <v>27</v>
      </c>
      <c r="C59" s="8">
        <f>-4.5-105</f>
        <v>-109.5</v>
      </c>
      <c r="D59" s="16">
        <f>-4.5-105</f>
        <v>-109.5</v>
      </c>
      <c r="E59" s="18" t="s">
        <v>177</v>
      </c>
      <c r="F59" s="16">
        <v>-225</v>
      </c>
    </row>
    <row r="60" spans="1:6" x14ac:dyDescent="0.25">
      <c r="A60" s="6" t="s">
        <v>510</v>
      </c>
      <c r="B60" s="24"/>
      <c r="C60" s="8"/>
      <c r="D60" s="15"/>
      <c r="E60" s="17"/>
      <c r="F60" s="15"/>
    </row>
    <row r="61" spans="1:6" x14ac:dyDescent="0.25">
      <c r="A61" s="7"/>
      <c r="B61" s="24"/>
      <c r="C61" s="8">
        <f>-3.5-118</f>
        <v>-121.5</v>
      </c>
      <c r="D61" s="15"/>
      <c r="E61" s="17"/>
      <c r="F61" s="15"/>
    </row>
    <row r="62" spans="1:6" x14ac:dyDescent="0.25">
      <c r="A62" s="7"/>
      <c r="B62" s="24"/>
      <c r="C62" s="8"/>
      <c r="D62" s="15"/>
      <c r="E62" s="17"/>
      <c r="F62" s="15"/>
    </row>
    <row r="63" spans="1:6" x14ac:dyDescent="0.25">
      <c r="A63" s="7"/>
      <c r="B63" s="24"/>
      <c r="C63" s="8">
        <f>-3.5-115</f>
        <v>-118.5</v>
      </c>
      <c r="D63" s="15"/>
      <c r="E63" s="17"/>
      <c r="F63" s="15"/>
    </row>
    <row r="64" spans="1:6" x14ac:dyDescent="0.25">
      <c r="A64" s="9">
        <v>262</v>
      </c>
      <c r="B64" s="26">
        <v>19</v>
      </c>
      <c r="C64" s="12" t="s">
        <v>179</v>
      </c>
      <c r="D64" s="20">
        <f>4.5-115</f>
        <v>-110.5</v>
      </c>
      <c r="E64" s="21" t="s">
        <v>179</v>
      </c>
      <c r="F64" s="20">
        <v>190</v>
      </c>
    </row>
    <row r="65" spans="1:6" x14ac:dyDescent="0.25">
      <c r="A65" s="10" t="s">
        <v>511</v>
      </c>
      <c r="B65" s="26"/>
      <c r="C65" s="12"/>
      <c r="D65" s="20"/>
      <c r="E65" s="21"/>
      <c r="F65" s="20"/>
    </row>
    <row r="66" spans="1:6" x14ac:dyDescent="0.25">
      <c r="A66" s="11"/>
      <c r="B66" s="26"/>
      <c r="C66" s="12" t="s">
        <v>179</v>
      </c>
      <c r="D66" s="20"/>
      <c r="E66" s="21"/>
      <c r="F66" s="20"/>
    </row>
    <row r="67" spans="1:6" x14ac:dyDescent="0.25">
      <c r="A67" s="11"/>
      <c r="B67" s="26"/>
      <c r="C67" s="12"/>
      <c r="D67" s="20"/>
      <c r="E67" s="21"/>
      <c r="F67" s="20"/>
    </row>
    <row r="68" spans="1:6" x14ac:dyDescent="0.25">
      <c r="A68" s="11"/>
      <c r="B68" s="26"/>
      <c r="C68" s="12" t="s">
        <v>179</v>
      </c>
      <c r="D68" s="20"/>
      <c r="E68" s="21"/>
      <c r="F68" s="20"/>
    </row>
    <row r="69" spans="1:6" ht="37.5" x14ac:dyDescent="0.25">
      <c r="A69" s="22" t="s">
        <v>17</v>
      </c>
    </row>
    <row r="70" spans="1:6" ht="15.75" thickBot="1" x14ac:dyDescent="0.3">
      <c r="A70" s="3" t="s">
        <v>505</v>
      </c>
      <c r="B70" s="4"/>
      <c r="C70" s="4" t="s">
        <v>8</v>
      </c>
      <c r="D70" s="4" t="s">
        <v>9</v>
      </c>
      <c r="E70" s="4" t="s">
        <v>10</v>
      </c>
      <c r="F70" s="4" t="s">
        <v>11</v>
      </c>
    </row>
    <row r="71" spans="1:6" x14ac:dyDescent="0.25">
      <c r="A71" s="5">
        <v>263</v>
      </c>
      <c r="B71" s="25">
        <v>28</v>
      </c>
      <c r="C71" s="8" t="s">
        <v>513</v>
      </c>
      <c r="D71" s="16" t="s">
        <v>26</v>
      </c>
      <c r="E71" s="16" t="s">
        <v>514</v>
      </c>
      <c r="F71" s="16">
        <v>124</v>
      </c>
    </row>
    <row r="72" spans="1:6" x14ac:dyDescent="0.25">
      <c r="A72" s="6" t="s">
        <v>512</v>
      </c>
      <c r="B72" s="24"/>
      <c r="C72" s="8"/>
      <c r="D72" s="15"/>
      <c r="E72" s="15"/>
      <c r="F72" s="15"/>
    </row>
    <row r="73" spans="1:6" x14ac:dyDescent="0.25">
      <c r="A73" s="7"/>
      <c r="B73" s="24"/>
      <c r="C73" s="8" t="s">
        <v>21</v>
      </c>
      <c r="D73" s="15"/>
      <c r="E73" s="15"/>
      <c r="F73" s="15"/>
    </row>
    <row r="74" spans="1:6" x14ac:dyDescent="0.25">
      <c r="A74" s="7"/>
      <c r="B74" s="24"/>
      <c r="C74" s="8"/>
      <c r="D74" s="15"/>
      <c r="E74" s="15"/>
      <c r="F74" s="15"/>
    </row>
    <row r="75" spans="1:6" x14ac:dyDescent="0.25">
      <c r="A75" s="7"/>
      <c r="B75" s="24"/>
      <c r="C75" s="8" t="s">
        <v>177</v>
      </c>
      <c r="D75" s="15"/>
      <c r="E75" s="15"/>
      <c r="F75" s="15"/>
    </row>
    <row r="76" spans="1:6" x14ac:dyDescent="0.25">
      <c r="A76" s="9">
        <v>264</v>
      </c>
      <c r="B76" s="26">
        <v>23</v>
      </c>
      <c r="C76" s="12">
        <f>-2.5-120</f>
        <v>-122.5</v>
      </c>
      <c r="D76" s="20">
        <f>-2.5-120</f>
        <v>-122.5</v>
      </c>
      <c r="E76" s="20" t="s">
        <v>513</v>
      </c>
      <c r="F76" s="20">
        <v>-148</v>
      </c>
    </row>
    <row r="77" spans="1:6" x14ac:dyDescent="0.25">
      <c r="A77" s="10" t="s">
        <v>515</v>
      </c>
      <c r="B77" s="26"/>
      <c r="C77" s="12"/>
      <c r="D77" s="20"/>
      <c r="E77" s="20"/>
      <c r="F77" s="20"/>
    </row>
    <row r="78" spans="1:6" x14ac:dyDescent="0.25">
      <c r="A78" s="11"/>
      <c r="B78" s="26"/>
      <c r="C78" s="12">
        <f>-2.5-120</f>
        <v>-122.5</v>
      </c>
      <c r="D78" s="20"/>
      <c r="E78" s="20"/>
      <c r="F78" s="20"/>
    </row>
    <row r="79" spans="1:6" x14ac:dyDescent="0.25">
      <c r="A79" s="11"/>
      <c r="B79" s="26"/>
      <c r="C79" s="12"/>
      <c r="D79" s="20"/>
      <c r="E79" s="20"/>
      <c r="F79" s="20"/>
    </row>
    <row r="80" spans="1:6" x14ac:dyDescent="0.25">
      <c r="A80" s="11"/>
      <c r="B80" s="26"/>
      <c r="C80" s="12">
        <f>-2.5-120</f>
        <v>-122.5</v>
      </c>
      <c r="D80" s="20"/>
      <c r="E80" s="20"/>
      <c r="F80" s="20"/>
    </row>
    <row r="81" spans="1:6" ht="37.5" x14ac:dyDescent="0.25">
      <c r="A81" s="22" t="s">
        <v>17</v>
      </c>
    </row>
    <row r="82" spans="1:6" ht="15.75" thickBot="1" x14ac:dyDescent="0.3">
      <c r="A82" s="3" t="s">
        <v>505</v>
      </c>
      <c r="B82" s="4"/>
      <c r="C82" s="4" t="s">
        <v>8</v>
      </c>
      <c r="D82" s="4" t="s">
        <v>9</v>
      </c>
      <c r="E82" s="4" t="s">
        <v>10</v>
      </c>
      <c r="F82" s="4" t="s">
        <v>11</v>
      </c>
    </row>
    <row r="83" spans="1:6" x14ac:dyDescent="0.25">
      <c r="A83" s="5">
        <v>259</v>
      </c>
      <c r="B83" s="14">
        <v>29</v>
      </c>
      <c r="C83" s="8" t="s">
        <v>517</v>
      </c>
      <c r="D83" s="18">
        <f>-1.5+102</f>
        <v>100.5</v>
      </c>
      <c r="E83" s="16" t="s">
        <v>126</v>
      </c>
      <c r="F83" s="18">
        <v>-112</v>
      </c>
    </row>
    <row r="84" spans="1:6" x14ac:dyDescent="0.25">
      <c r="A84" s="6" t="s">
        <v>516</v>
      </c>
      <c r="B84" s="13"/>
      <c r="C84" s="8"/>
      <c r="D84" s="17"/>
      <c r="E84" s="15"/>
      <c r="F84" s="17"/>
    </row>
    <row r="85" spans="1:6" x14ac:dyDescent="0.25">
      <c r="A85" s="7"/>
      <c r="B85" s="13"/>
      <c r="C85" s="8" t="s">
        <v>517</v>
      </c>
      <c r="D85" s="17"/>
      <c r="E85" s="15"/>
      <c r="F85" s="17"/>
    </row>
    <row r="86" spans="1:6" x14ac:dyDescent="0.25">
      <c r="A86" s="7"/>
      <c r="B86" s="13"/>
      <c r="C86" s="8"/>
      <c r="D86" s="17"/>
      <c r="E86" s="15"/>
      <c r="F86" s="17"/>
    </row>
    <row r="87" spans="1:6" x14ac:dyDescent="0.25">
      <c r="A87" s="7"/>
      <c r="B87" s="13"/>
      <c r="C87" s="8" t="s">
        <v>517</v>
      </c>
      <c r="D87" s="17"/>
      <c r="E87" s="15"/>
      <c r="F87" s="17"/>
    </row>
    <row r="88" spans="1:6" x14ac:dyDescent="0.25">
      <c r="A88" s="9">
        <v>260</v>
      </c>
      <c r="B88" s="19">
        <v>36</v>
      </c>
      <c r="C88" s="12" t="s">
        <v>126</v>
      </c>
      <c r="D88" s="21">
        <f>1.5-120</f>
        <v>-118.5</v>
      </c>
      <c r="E88" s="20" t="s">
        <v>125</v>
      </c>
      <c r="F88" s="21">
        <v>-108</v>
      </c>
    </row>
    <row r="89" spans="1:6" x14ac:dyDescent="0.25">
      <c r="A89" s="10" t="s">
        <v>518</v>
      </c>
      <c r="B89" s="19"/>
      <c r="C89" s="12"/>
      <c r="D89" s="21"/>
      <c r="E89" s="20"/>
      <c r="F89" s="21"/>
    </row>
    <row r="90" spans="1:6" x14ac:dyDescent="0.25">
      <c r="A90" s="11"/>
      <c r="B90" s="19"/>
      <c r="C90" s="12" t="s">
        <v>126</v>
      </c>
      <c r="D90" s="21"/>
      <c r="E90" s="20"/>
      <c r="F90" s="21"/>
    </row>
    <row r="91" spans="1:6" x14ac:dyDescent="0.25">
      <c r="A91" s="11"/>
      <c r="B91" s="19"/>
      <c r="C91" s="12"/>
      <c r="D91" s="21"/>
      <c r="E91" s="20"/>
      <c r="F91" s="21"/>
    </row>
    <row r="92" spans="1:6" x14ac:dyDescent="0.25">
      <c r="A92" s="11"/>
      <c r="B92" s="19"/>
      <c r="C92" s="12" t="s">
        <v>126</v>
      </c>
      <c r="D92" s="21"/>
      <c r="E92" s="20"/>
      <c r="F92" s="21"/>
    </row>
    <row r="93" spans="1:6" ht="37.5" x14ac:dyDescent="0.25">
      <c r="A93" s="22" t="s">
        <v>17</v>
      </c>
    </row>
    <row r="94" spans="1:6" ht="15.75" thickBot="1" x14ac:dyDescent="0.3">
      <c r="A94" s="3" t="s">
        <v>505</v>
      </c>
      <c r="B94" s="4"/>
      <c r="C94" s="4" t="s">
        <v>8</v>
      </c>
      <c r="D94" s="4" t="s">
        <v>9</v>
      </c>
      <c r="E94" s="4" t="s">
        <v>10</v>
      </c>
      <c r="F94" s="4" t="s">
        <v>11</v>
      </c>
    </row>
    <row r="95" spans="1:6" x14ac:dyDescent="0.25">
      <c r="A95" s="5">
        <v>253</v>
      </c>
      <c r="B95" s="14">
        <v>20</v>
      </c>
      <c r="C95" s="8">
        <f>-1.5-115</f>
        <v>-116.5</v>
      </c>
      <c r="D95" s="18">
        <f>-1.5-115</f>
        <v>-116.5</v>
      </c>
      <c r="E95" s="16" t="s">
        <v>488</v>
      </c>
      <c r="F95" s="18">
        <v>-130</v>
      </c>
    </row>
    <row r="96" spans="1:6" x14ac:dyDescent="0.25">
      <c r="A96" s="6" t="s">
        <v>519</v>
      </c>
      <c r="B96" s="13"/>
      <c r="C96" s="8"/>
      <c r="D96" s="17"/>
      <c r="E96" s="15"/>
      <c r="F96" s="17"/>
    </row>
    <row r="97" spans="1:6" x14ac:dyDescent="0.25">
      <c r="A97" s="7"/>
      <c r="B97" s="13"/>
      <c r="C97" s="8">
        <f>-1.5-115</f>
        <v>-116.5</v>
      </c>
      <c r="D97" s="17"/>
      <c r="E97" s="15"/>
      <c r="F97" s="17"/>
    </row>
    <row r="98" spans="1:6" x14ac:dyDescent="0.25">
      <c r="A98" s="7"/>
      <c r="B98" s="13"/>
      <c r="C98" s="8"/>
      <c r="D98" s="17"/>
      <c r="E98" s="15"/>
      <c r="F98" s="17"/>
    </row>
    <row r="99" spans="1:6" x14ac:dyDescent="0.25">
      <c r="A99" s="7"/>
      <c r="B99" s="13"/>
      <c r="C99" s="8">
        <f>-1.5-115</f>
        <v>-116.5</v>
      </c>
      <c r="D99" s="17"/>
      <c r="E99" s="15"/>
      <c r="F99" s="17"/>
    </row>
    <row r="100" spans="1:6" x14ac:dyDescent="0.25">
      <c r="A100" s="9">
        <v>254</v>
      </c>
      <c r="B100" s="19">
        <v>27</v>
      </c>
      <c r="C100" s="12" t="s">
        <v>488</v>
      </c>
      <c r="D100" s="21">
        <f>1.5-105</f>
        <v>-103.5</v>
      </c>
      <c r="E100" s="20" t="s">
        <v>274</v>
      </c>
      <c r="F100" s="21">
        <v>110</v>
      </c>
    </row>
    <row r="101" spans="1:6" x14ac:dyDescent="0.25">
      <c r="A101" s="10" t="s">
        <v>520</v>
      </c>
      <c r="B101" s="19"/>
      <c r="C101" s="12"/>
      <c r="D101" s="21"/>
      <c r="E101" s="20"/>
      <c r="F101" s="21"/>
    </row>
    <row r="102" spans="1:6" x14ac:dyDescent="0.25">
      <c r="A102" s="11"/>
      <c r="B102" s="19"/>
      <c r="C102" s="12" t="s">
        <v>77</v>
      </c>
      <c r="D102" s="21"/>
      <c r="E102" s="20"/>
      <c r="F102" s="21"/>
    </row>
    <row r="103" spans="1:6" x14ac:dyDescent="0.25">
      <c r="A103" s="11"/>
      <c r="B103" s="19"/>
      <c r="C103" s="12"/>
      <c r="D103" s="21"/>
      <c r="E103" s="20"/>
      <c r="F103" s="21"/>
    </row>
    <row r="104" spans="1:6" x14ac:dyDescent="0.25">
      <c r="A104" s="11"/>
      <c r="B104" s="19"/>
      <c r="C104" s="12" t="s">
        <v>214</v>
      </c>
      <c r="D104" s="21"/>
      <c r="E104" s="20"/>
      <c r="F104" s="21"/>
    </row>
    <row r="105" spans="1:6" ht="37.5" x14ac:dyDescent="0.25">
      <c r="A105" s="22" t="s">
        <v>17</v>
      </c>
    </row>
    <row r="106" spans="1:6" ht="15.75" thickBot="1" x14ac:dyDescent="0.3">
      <c r="A106" s="3" t="s">
        <v>505</v>
      </c>
      <c r="B106" s="4"/>
      <c r="C106" s="4" t="s">
        <v>8</v>
      </c>
      <c r="D106" s="4" t="s">
        <v>9</v>
      </c>
      <c r="E106" s="4" t="s">
        <v>10</v>
      </c>
      <c r="F106" s="4" t="s">
        <v>11</v>
      </c>
    </row>
    <row r="107" spans="1:6" x14ac:dyDescent="0.25">
      <c r="A107" s="5">
        <v>265</v>
      </c>
      <c r="B107" s="14">
        <v>20</v>
      </c>
      <c r="C107" s="8" t="s">
        <v>207</v>
      </c>
      <c r="D107" s="16">
        <f>4.5-110</f>
        <v>-105.5</v>
      </c>
      <c r="E107" s="18" t="s">
        <v>207</v>
      </c>
      <c r="F107" s="18">
        <v>180</v>
      </c>
    </row>
    <row r="108" spans="1:6" x14ac:dyDescent="0.25">
      <c r="A108" s="6" t="s">
        <v>521</v>
      </c>
      <c r="B108" s="13"/>
      <c r="C108" s="8"/>
      <c r="D108" s="15"/>
      <c r="E108" s="17"/>
      <c r="F108" s="17"/>
    </row>
    <row r="109" spans="1:6" x14ac:dyDescent="0.25">
      <c r="A109" s="7"/>
      <c r="B109" s="13"/>
      <c r="C109" s="8" t="s">
        <v>167</v>
      </c>
      <c r="D109" s="15"/>
      <c r="E109" s="17"/>
      <c r="F109" s="17"/>
    </row>
    <row r="110" spans="1:6" x14ac:dyDescent="0.25">
      <c r="A110" s="7"/>
      <c r="B110" s="13"/>
      <c r="C110" s="8"/>
      <c r="D110" s="15"/>
      <c r="E110" s="17"/>
      <c r="F110" s="17"/>
    </row>
    <row r="111" spans="1:6" x14ac:dyDescent="0.25">
      <c r="A111" s="7"/>
      <c r="B111" s="13"/>
      <c r="C111" s="8" t="s">
        <v>522</v>
      </c>
      <c r="D111" s="15"/>
      <c r="E111" s="17"/>
      <c r="F111" s="17"/>
    </row>
    <row r="112" spans="1:6" x14ac:dyDescent="0.25">
      <c r="A112" s="9">
        <v>266</v>
      </c>
      <c r="B112" s="19">
        <v>24</v>
      </c>
      <c r="C112" s="12">
        <f>-4.5-110</f>
        <v>-114.5</v>
      </c>
      <c r="D112" s="20">
        <f>-4.5-110</f>
        <v>-114.5</v>
      </c>
      <c r="E112" s="21" t="s">
        <v>209</v>
      </c>
      <c r="F112" s="21">
        <v>-218</v>
      </c>
    </row>
    <row r="113" spans="1:6" x14ac:dyDescent="0.25">
      <c r="A113" s="10" t="s">
        <v>523</v>
      </c>
      <c r="B113" s="19"/>
      <c r="C113" s="12"/>
      <c r="D113" s="20"/>
      <c r="E113" s="21"/>
      <c r="F113" s="21"/>
    </row>
    <row r="114" spans="1:6" x14ac:dyDescent="0.25">
      <c r="A114" s="11"/>
      <c r="B114" s="19"/>
      <c r="C114" s="12">
        <f>-4.5-110</f>
        <v>-114.5</v>
      </c>
      <c r="D114" s="20"/>
      <c r="E114" s="21"/>
      <c r="F114" s="21"/>
    </row>
    <row r="115" spans="1:6" x14ac:dyDescent="0.25">
      <c r="A115" s="11"/>
      <c r="B115" s="19"/>
      <c r="C115" s="12"/>
      <c r="D115" s="20"/>
      <c r="E115" s="21"/>
      <c r="F115" s="21"/>
    </row>
    <row r="116" spans="1:6" x14ac:dyDescent="0.25">
      <c r="A116" s="11"/>
      <c r="B116" s="19"/>
      <c r="C116" s="12">
        <f>-4.5-110</f>
        <v>-114.5</v>
      </c>
      <c r="D116" s="20"/>
      <c r="E116" s="21"/>
      <c r="F116" s="21"/>
    </row>
    <row r="117" spans="1:6" ht="37.5" x14ac:dyDescent="0.25">
      <c r="A117" s="22" t="s">
        <v>17</v>
      </c>
    </row>
    <row r="118" spans="1:6" ht="15.75" thickBot="1" x14ac:dyDescent="0.3">
      <c r="A118" s="3" t="s">
        <v>524</v>
      </c>
      <c r="B118" s="4"/>
      <c r="C118" s="4" t="s">
        <v>8</v>
      </c>
      <c r="D118" s="4" t="s">
        <v>9</v>
      </c>
      <c r="E118" s="4" t="s">
        <v>10</v>
      </c>
      <c r="F118" s="4" t="s">
        <v>11</v>
      </c>
    </row>
    <row r="119" spans="1:6" x14ac:dyDescent="0.25">
      <c r="A119" s="5">
        <v>267</v>
      </c>
      <c r="B119" s="14">
        <v>22</v>
      </c>
      <c r="C119" s="8" t="s">
        <v>454</v>
      </c>
      <c r="D119" s="18">
        <f>7.5-115</f>
        <v>-107.5</v>
      </c>
      <c r="E119" s="16" t="s">
        <v>454</v>
      </c>
      <c r="F119" s="18">
        <v>285</v>
      </c>
    </row>
    <row r="120" spans="1:6" x14ac:dyDescent="0.25">
      <c r="A120" s="6" t="s">
        <v>525</v>
      </c>
      <c r="B120" s="13"/>
      <c r="C120" s="8"/>
      <c r="D120" s="17"/>
      <c r="E120" s="15"/>
      <c r="F120" s="17"/>
    </row>
    <row r="121" spans="1:6" x14ac:dyDescent="0.25">
      <c r="A121" s="7"/>
      <c r="B121" s="13"/>
      <c r="C121" s="8" t="s">
        <v>454</v>
      </c>
      <c r="D121" s="17"/>
      <c r="E121" s="15"/>
      <c r="F121" s="17"/>
    </row>
    <row r="122" spans="1:6" x14ac:dyDescent="0.25">
      <c r="A122" s="7"/>
      <c r="B122" s="13"/>
      <c r="C122" s="8"/>
      <c r="D122" s="17"/>
      <c r="E122" s="15"/>
      <c r="F122" s="17"/>
    </row>
    <row r="123" spans="1:6" x14ac:dyDescent="0.25">
      <c r="A123" s="7"/>
      <c r="B123" s="13"/>
      <c r="C123" s="8" t="s">
        <v>454</v>
      </c>
      <c r="D123" s="17"/>
      <c r="E123" s="15"/>
      <c r="F123" s="17"/>
    </row>
    <row r="124" spans="1:6" x14ac:dyDescent="0.25">
      <c r="A124" s="9">
        <v>268</v>
      </c>
      <c r="B124" s="19">
        <v>44</v>
      </c>
      <c r="C124" s="12">
        <f>-7.5-105</f>
        <v>-112.5</v>
      </c>
      <c r="D124" s="21">
        <f>-7.5-105</f>
        <v>-112.5</v>
      </c>
      <c r="E124" s="20" t="s">
        <v>456</v>
      </c>
      <c r="F124" s="21">
        <v>-360</v>
      </c>
    </row>
    <row r="125" spans="1:6" x14ac:dyDescent="0.25">
      <c r="A125" s="10" t="s">
        <v>526</v>
      </c>
      <c r="B125" s="19"/>
      <c r="C125" s="12"/>
      <c r="D125" s="21"/>
      <c r="E125" s="20"/>
      <c r="F125" s="21"/>
    </row>
    <row r="126" spans="1:6" x14ac:dyDescent="0.25">
      <c r="A126" s="11"/>
      <c r="B126" s="19"/>
      <c r="C126" s="12">
        <f>-7-115</f>
        <v>-122</v>
      </c>
      <c r="D126" s="21"/>
      <c r="E126" s="20"/>
      <c r="F126" s="21"/>
    </row>
    <row r="127" spans="1:6" x14ac:dyDescent="0.25">
      <c r="A127" s="11"/>
      <c r="B127" s="19"/>
      <c r="C127" s="12"/>
      <c r="D127" s="21"/>
      <c r="E127" s="20"/>
      <c r="F127" s="21"/>
    </row>
    <row r="128" spans="1:6" x14ac:dyDescent="0.25">
      <c r="A128" s="11"/>
      <c r="B128" s="19"/>
      <c r="C128" s="12">
        <f>-7-110</f>
        <v>-117</v>
      </c>
      <c r="D128" s="21"/>
      <c r="E128" s="20"/>
      <c r="F128" s="21"/>
    </row>
    <row r="129" spans="1:6" ht="37.5" x14ac:dyDescent="0.25">
      <c r="A129" s="22" t="s">
        <v>17</v>
      </c>
    </row>
    <row r="130" spans="1:6" ht="15.75" thickBot="1" x14ac:dyDescent="0.3">
      <c r="A130" s="3" t="s">
        <v>527</v>
      </c>
      <c r="B130" s="4"/>
      <c r="C130" s="4" t="s">
        <v>8</v>
      </c>
      <c r="D130" s="4" t="s">
        <v>9</v>
      </c>
      <c r="E130" s="4" t="s">
        <v>10</v>
      </c>
      <c r="F130" s="4" t="s">
        <v>11</v>
      </c>
    </row>
    <row r="131" spans="1:6" x14ac:dyDescent="0.25">
      <c r="A131" s="5">
        <v>269</v>
      </c>
      <c r="B131" s="25">
        <v>44</v>
      </c>
      <c r="C131" s="8">
        <f>-8.5-112</f>
        <v>-120.5</v>
      </c>
      <c r="D131" s="16">
        <f>-8.5-112</f>
        <v>-120.5</v>
      </c>
      <c r="E131" s="16" t="s">
        <v>281</v>
      </c>
      <c r="F131" s="16">
        <v>-485</v>
      </c>
    </row>
    <row r="132" spans="1:6" x14ac:dyDescent="0.25">
      <c r="A132" s="6" t="s">
        <v>528</v>
      </c>
      <c r="B132" s="24"/>
      <c r="C132" s="8"/>
      <c r="D132" s="15"/>
      <c r="E132" s="15"/>
      <c r="F132" s="15"/>
    </row>
    <row r="133" spans="1:6" x14ac:dyDescent="0.25">
      <c r="A133" s="7"/>
      <c r="B133" s="24"/>
      <c r="C133" s="8">
        <f>-9.5-108</f>
        <v>-117.5</v>
      </c>
      <c r="D133" s="15"/>
      <c r="E133" s="15"/>
      <c r="F133" s="15"/>
    </row>
    <row r="134" spans="1:6" x14ac:dyDescent="0.25">
      <c r="A134" s="7"/>
      <c r="B134" s="24"/>
      <c r="C134" s="8"/>
      <c r="D134" s="15"/>
      <c r="E134" s="15"/>
      <c r="F134" s="15"/>
    </row>
    <row r="135" spans="1:6" x14ac:dyDescent="0.25">
      <c r="A135" s="7"/>
      <c r="B135" s="24"/>
      <c r="C135" s="8">
        <f>-8.5-112</f>
        <v>-120.5</v>
      </c>
      <c r="D135" s="15"/>
      <c r="E135" s="15"/>
      <c r="F135" s="15"/>
    </row>
    <row r="136" spans="1:6" x14ac:dyDescent="0.25">
      <c r="A136" s="9">
        <v>270</v>
      </c>
      <c r="B136" s="26">
        <v>22</v>
      </c>
      <c r="C136" s="12" t="s">
        <v>281</v>
      </c>
      <c r="D136" s="20">
        <f>8.5-108</f>
        <v>-99.5</v>
      </c>
      <c r="E136" s="20" t="s">
        <v>530</v>
      </c>
      <c r="F136" s="20">
        <v>370</v>
      </c>
    </row>
    <row r="137" spans="1:6" x14ac:dyDescent="0.25">
      <c r="A137" s="10" t="s">
        <v>529</v>
      </c>
      <c r="B137" s="26"/>
      <c r="C137" s="12"/>
      <c r="D137" s="20"/>
      <c r="E137" s="20"/>
      <c r="F137" s="20"/>
    </row>
    <row r="138" spans="1:6" x14ac:dyDescent="0.25">
      <c r="A138" s="11"/>
      <c r="B138" s="26"/>
      <c r="C138" s="12" t="s">
        <v>281</v>
      </c>
      <c r="D138" s="20"/>
      <c r="E138" s="20"/>
      <c r="F138" s="20"/>
    </row>
    <row r="139" spans="1:6" x14ac:dyDescent="0.25">
      <c r="A139" s="11"/>
      <c r="B139" s="26"/>
      <c r="C139" s="12"/>
      <c r="D139" s="20"/>
      <c r="E139" s="20"/>
      <c r="F139" s="20"/>
    </row>
    <row r="140" spans="1:6" x14ac:dyDescent="0.25">
      <c r="A140" s="11"/>
      <c r="B140" s="26"/>
      <c r="C140" s="12" t="s">
        <v>281</v>
      </c>
      <c r="D140" s="20"/>
      <c r="E140" s="20"/>
      <c r="F140" s="20"/>
    </row>
    <row r="141" spans="1:6" ht="37.5" x14ac:dyDescent="0.25">
      <c r="A141" s="22" t="s">
        <v>17</v>
      </c>
    </row>
    <row r="142" spans="1:6" ht="15.75" thickBot="1" x14ac:dyDescent="0.3">
      <c r="A142" s="3" t="s">
        <v>527</v>
      </c>
      <c r="B142" s="4"/>
      <c r="C142" s="4" t="s">
        <v>8</v>
      </c>
      <c r="D142" s="4" t="s">
        <v>9</v>
      </c>
      <c r="E142" s="4" t="s">
        <v>10</v>
      </c>
      <c r="F142" s="4" t="s">
        <v>11</v>
      </c>
    </row>
    <row r="143" spans="1:6" x14ac:dyDescent="0.25">
      <c r="A143" s="5">
        <v>271</v>
      </c>
      <c r="B143" s="25">
        <v>42</v>
      </c>
      <c r="C143" s="8">
        <f>-5.5-115</f>
        <v>-120.5</v>
      </c>
      <c r="D143" s="16">
        <f>-5.5-115</f>
        <v>-120.5</v>
      </c>
      <c r="E143" s="16" t="s">
        <v>357</v>
      </c>
      <c r="F143" s="16">
        <v>-258</v>
      </c>
    </row>
    <row r="144" spans="1:6" x14ac:dyDescent="0.25">
      <c r="A144" s="6" t="s">
        <v>531</v>
      </c>
      <c r="B144" s="24"/>
      <c r="C144" s="8"/>
      <c r="D144" s="15"/>
      <c r="E144" s="15"/>
      <c r="F144" s="15"/>
    </row>
    <row r="145" spans="1:6" x14ac:dyDescent="0.25">
      <c r="A145" s="7"/>
      <c r="B145" s="24"/>
      <c r="C145" s="8">
        <f>-5.5-112</f>
        <v>-117.5</v>
      </c>
      <c r="D145" s="15"/>
      <c r="E145" s="15"/>
      <c r="F145" s="15"/>
    </row>
    <row r="146" spans="1:6" x14ac:dyDescent="0.25">
      <c r="A146" s="7"/>
      <c r="B146" s="24"/>
      <c r="C146" s="8"/>
      <c r="D146" s="15"/>
      <c r="E146" s="15"/>
      <c r="F146" s="15"/>
    </row>
    <row r="147" spans="1:6" x14ac:dyDescent="0.25">
      <c r="A147" s="7"/>
      <c r="B147" s="24"/>
      <c r="C147" s="8">
        <f>-6-108</f>
        <v>-114</v>
      </c>
      <c r="D147" s="15"/>
      <c r="E147" s="15"/>
      <c r="F147" s="15"/>
    </row>
    <row r="148" spans="1:6" x14ac:dyDescent="0.25">
      <c r="A148" s="9">
        <v>272</v>
      </c>
      <c r="B148" s="26">
        <v>26</v>
      </c>
      <c r="C148" s="12" t="s">
        <v>359</v>
      </c>
      <c r="D148" s="20">
        <f>5.5-105</f>
        <v>-99.5</v>
      </c>
      <c r="E148" s="20" t="s">
        <v>359</v>
      </c>
      <c r="F148" s="20">
        <v>205</v>
      </c>
    </row>
    <row r="149" spans="1:6" x14ac:dyDescent="0.25">
      <c r="A149" s="10" t="s">
        <v>532</v>
      </c>
      <c r="B149" s="26"/>
      <c r="C149" s="12"/>
      <c r="D149" s="20"/>
      <c r="E149" s="20"/>
      <c r="F149" s="20"/>
    </row>
    <row r="150" spans="1:6" x14ac:dyDescent="0.25">
      <c r="A150" s="11"/>
      <c r="B150" s="26"/>
      <c r="C150" s="12" t="s">
        <v>359</v>
      </c>
      <c r="D150" s="20"/>
      <c r="E150" s="20"/>
      <c r="F150" s="20"/>
    </row>
    <row r="151" spans="1:6" x14ac:dyDescent="0.25">
      <c r="A151" s="11"/>
      <c r="B151" s="26"/>
      <c r="C151" s="12"/>
      <c r="D151" s="20"/>
      <c r="E151" s="20"/>
      <c r="F151" s="20"/>
    </row>
    <row r="152" spans="1:6" x14ac:dyDescent="0.25">
      <c r="A152" s="11"/>
      <c r="B152" s="26"/>
      <c r="C152" s="12" t="s">
        <v>359</v>
      </c>
      <c r="D152" s="20"/>
      <c r="E152" s="20"/>
      <c r="F152" s="20"/>
    </row>
    <row r="153" spans="1:6" ht="37.5" x14ac:dyDescent="0.25">
      <c r="A153" s="22" t="s">
        <v>17</v>
      </c>
    </row>
    <row r="154" spans="1:6" ht="15.75" thickBot="1" x14ac:dyDescent="0.3">
      <c r="A154" s="3" t="s">
        <v>533</v>
      </c>
      <c r="B154" s="4"/>
      <c r="C154" s="4" t="s">
        <v>8</v>
      </c>
      <c r="D154" s="4" t="s">
        <v>9</v>
      </c>
      <c r="E154" s="4" t="s">
        <v>10</v>
      </c>
      <c r="F154" s="4" t="s">
        <v>11</v>
      </c>
    </row>
    <row r="155" spans="1:6" x14ac:dyDescent="0.25">
      <c r="A155" s="5">
        <v>273</v>
      </c>
      <c r="B155" s="14">
        <v>10</v>
      </c>
      <c r="C155" s="8" t="s">
        <v>522</v>
      </c>
      <c r="D155" s="18" t="s">
        <v>418</v>
      </c>
      <c r="E155" s="18" t="s">
        <v>522</v>
      </c>
      <c r="F155" s="18">
        <v>150</v>
      </c>
    </row>
    <row r="156" spans="1:6" x14ac:dyDescent="0.25">
      <c r="A156" s="6" t="s">
        <v>534</v>
      </c>
      <c r="B156" s="13"/>
      <c r="C156" s="8"/>
      <c r="D156" s="17"/>
      <c r="E156" s="17"/>
      <c r="F156" s="17"/>
    </row>
    <row r="157" spans="1:6" x14ac:dyDescent="0.25">
      <c r="A157" s="7"/>
      <c r="B157" s="13"/>
      <c r="C157" s="8" t="s">
        <v>109</v>
      </c>
      <c r="D157" s="17"/>
      <c r="E157" s="17"/>
      <c r="F157" s="17"/>
    </row>
    <row r="158" spans="1:6" x14ac:dyDescent="0.25">
      <c r="A158" s="7"/>
      <c r="B158" s="13"/>
      <c r="C158" s="8"/>
      <c r="D158" s="17"/>
      <c r="E158" s="17"/>
      <c r="F158" s="17"/>
    </row>
    <row r="159" spans="1:6" x14ac:dyDescent="0.25">
      <c r="A159" s="7"/>
      <c r="B159" s="13"/>
      <c r="C159" s="8" t="s">
        <v>109</v>
      </c>
      <c r="D159" s="17"/>
      <c r="E159" s="17"/>
      <c r="F159" s="17"/>
    </row>
    <row r="160" spans="1:6" x14ac:dyDescent="0.25">
      <c r="A160" s="9">
        <v>274</v>
      </c>
      <c r="B160" s="19">
        <v>25</v>
      </c>
      <c r="C160" s="12">
        <f>-3-120</f>
        <v>-123</v>
      </c>
      <c r="D160" s="21">
        <f>-3-120</f>
        <v>-123</v>
      </c>
      <c r="E160" s="21" t="s">
        <v>417</v>
      </c>
      <c r="F160" s="21">
        <v>-180</v>
      </c>
    </row>
    <row r="161" spans="1:6" x14ac:dyDescent="0.25">
      <c r="A161" s="10" t="s">
        <v>535</v>
      </c>
      <c r="B161" s="19"/>
      <c r="C161" s="12"/>
      <c r="D161" s="21"/>
      <c r="E161" s="21"/>
      <c r="F161" s="21"/>
    </row>
    <row r="162" spans="1:6" x14ac:dyDescent="0.25">
      <c r="A162" s="11"/>
      <c r="B162" s="19"/>
      <c r="C162" s="12">
        <f>-3-120</f>
        <v>-123</v>
      </c>
      <c r="D162" s="21"/>
      <c r="E162" s="21"/>
      <c r="F162" s="21"/>
    </row>
    <row r="163" spans="1:6" x14ac:dyDescent="0.25">
      <c r="A163" s="11"/>
      <c r="B163" s="19"/>
      <c r="C163" s="12"/>
      <c r="D163" s="21"/>
      <c r="E163" s="21"/>
      <c r="F163" s="21"/>
    </row>
    <row r="164" spans="1:6" x14ac:dyDescent="0.25">
      <c r="A164" s="11"/>
      <c r="B164" s="19"/>
      <c r="C164" s="12">
        <f>-3-115</f>
        <v>-118</v>
      </c>
      <c r="D164" s="21"/>
      <c r="E164" s="21"/>
      <c r="F164" s="21"/>
    </row>
    <row r="165" spans="1:6" ht="38.25" thickBot="1" x14ac:dyDescent="0.3">
      <c r="A165" s="22" t="s">
        <v>17</v>
      </c>
    </row>
    <row r="166" spans="1:6" ht="56.25" x14ac:dyDescent="0.25">
      <c r="A166" s="27" t="s">
        <v>174</v>
      </c>
    </row>
    <row r="167" spans="1:6" ht="15.75" thickBot="1" x14ac:dyDescent="0.3">
      <c r="A167" s="3" t="s">
        <v>536</v>
      </c>
      <c r="B167" s="4"/>
      <c r="C167" s="4" t="s">
        <v>8</v>
      </c>
      <c r="D167" s="4" t="s">
        <v>9</v>
      </c>
      <c r="E167" s="4" t="s">
        <v>10</v>
      </c>
      <c r="F167" s="4" t="s">
        <v>11</v>
      </c>
    </row>
    <row r="168" spans="1:6" x14ac:dyDescent="0.25">
      <c r="A168" s="5">
        <v>275</v>
      </c>
      <c r="B168" s="25">
        <v>10</v>
      </c>
      <c r="C168" s="8" t="s">
        <v>258</v>
      </c>
      <c r="D168" s="16">
        <f>1.5-120</f>
        <v>-118.5</v>
      </c>
      <c r="E168" s="18" t="s">
        <v>258</v>
      </c>
      <c r="F168" s="16">
        <v>-110</v>
      </c>
    </row>
    <row r="169" spans="1:6" x14ac:dyDescent="0.25">
      <c r="A169" s="6" t="s">
        <v>537</v>
      </c>
      <c r="B169" s="24"/>
      <c r="C169" s="8"/>
      <c r="D169" s="15"/>
      <c r="E169" s="17"/>
      <c r="F169" s="15"/>
    </row>
    <row r="170" spans="1:6" x14ac:dyDescent="0.25">
      <c r="A170" s="7"/>
      <c r="B170" s="24"/>
      <c r="C170" s="8" t="s">
        <v>258</v>
      </c>
      <c r="D170" s="15"/>
      <c r="E170" s="17"/>
      <c r="F170" s="15"/>
    </row>
    <row r="171" spans="1:6" x14ac:dyDescent="0.25">
      <c r="A171" s="7"/>
      <c r="B171" s="24"/>
      <c r="C171" s="8"/>
      <c r="D171" s="15"/>
      <c r="E171" s="17"/>
      <c r="F171" s="15"/>
    </row>
    <row r="172" spans="1:6" x14ac:dyDescent="0.25">
      <c r="A172" s="7"/>
      <c r="B172" s="24"/>
      <c r="C172" s="8" t="s">
        <v>258</v>
      </c>
      <c r="D172" s="15"/>
      <c r="E172" s="17"/>
      <c r="F172" s="15"/>
    </row>
    <row r="173" spans="1:6" x14ac:dyDescent="0.25">
      <c r="A173" s="9">
        <v>276</v>
      </c>
      <c r="B173" s="26">
        <v>7</v>
      </c>
      <c r="C173" s="12" t="s">
        <v>517</v>
      </c>
      <c r="D173" s="20">
        <f>-1.5+102</f>
        <v>100.5</v>
      </c>
      <c r="E173" s="21" t="s">
        <v>539</v>
      </c>
      <c r="F173" s="20">
        <v>-110</v>
      </c>
    </row>
    <row r="174" spans="1:6" x14ac:dyDescent="0.25">
      <c r="A174" s="10" t="s">
        <v>538</v>
      </c>
      <c r="B174" s="26"/>
      <c r="C174" s="12"/>
      <c r="D174" s="20"/>
      <c r="E174" s="21"/>
      <c r="F174" s="20"/>
    </row>
    <row r="175" spans="1:6" x14ac:dyDescent="0.25">
      <c r="A175" s="11"/>
      <c r="B175" s="26"/>
      <c r="C175" s="12">
        <f>-1.5-102</f>
        <v>-103.5</v>
      </c>
      <c r="D175" s="20"/>
      <c r="E175" s="21"/>
      <c r="F175" s="20"/>
    </row>
    <row r="176" spans="1:6" x14ac:dyDescent="0.25">
      <c r="A176" s="11"/>
      <c r="B176" s="26"/>
      <c r="C176" s="12"/>
      <c r="D176" s="20"/>
      <c r="E176" s="21"/>
      <c r="F176" s="20"/>
    </row>
    <row r="177" spans="1:6" x14ac:dyDescent="0.25">
      <c r="A177" s="11"/>
      <c r="B177" s="26"/>
      <c r="C177" s="12">
        <f>-1.5-102</f>
        <v>-103.5</v>
      </c>
      <c r="D177" s="20"/>
      <c r="E177" s="21"/>
      <c r="F177" s="20"/>
    </row>
  </sheetData>
  <mergeCells count="112">
    <mergeCell ref="B168:B172"/>
    <mergeCell ref="D168:D172"/>
    <mergeCell ref="E168:E172"/>
    <mergeCell ref="F168:F172"/>
    <mergeCell ref="B173:B177"/>
    <mergeCell ref="D173:D177"/>
    <mergeCell ref="E173:E177"/>
    <mergeCell ref="F173:F177"/>
    <mergeCell ref="B155:B159"/>
    <mergeCell ref="D155:D159"/>
    <mergeCell ref="E155:E159"/>
    <mergeCell ref="F155:F159"/>
    <mergeCell ref="B160:B164"/>
    <mergeCell ref="D160:D164"/>
    <mergeCell ref="E160:E164"/>
    <mergeCell ref="F160:F164"/>
    <mergeCell ref="B143:B147"/>
    <mergeCell ref="D143:D147"/>
    <mergeCell ref="E143:E147"/>
    <mergeCell ref="F143:F147"/>
    <mergeCell ref="B148:B152"/>
    <mergeCell ref="D148:D152"/>
    <mergeCell ref="E148:E152"/>
    <mergeCell ref="F148:F152"/>
    <mergeCell ref="B131:B135"/>
    <mergeCell ref="D131:D135"/>
    <mergeCell ref="E131:E135"/>
    <mergeCell ref="F131:F135"/>
    <mergeCell ref="B136:B140"/>
    <mergeCell ref="D136:D140"/>
    <mergeCell ref="E136:E140"/>
    <mergeCell ref="F136:F140"/>
    <mergeCell ref="B119:B123"/>
    <mergeCell ref="D119:D123"/>
    <mergeCell ref="E119:E123"/>
    <mergeCell ref="F119:F123"/>
    <mergeCell ref="B124:B128"/>
    <mergeCell ref="D124:D128"/>
    <mergeCell ref="E124:E128"/>
    <mergeCell ref="F124:F128"/>
    <mergeCell ref="B107:B111"/>
    <mergeCell ref="D107:D111"/>
    <mergeCell ref="E107:E111"/>
    <mergeCell ref="F107:F111"/>
    <mergeCell ref="B112:B116"/>
    <mergeCell ref="D112:D116"/>
    <mergeCell ref="E112:E116"/>
    <mergeCell ref="F112:F116"/>
    <mergeCell ref="B95:B99"/>
    <mergeCell ref="D95:D99"/>
    <mergeCell ref="E95:E99"/>
    <mergeCell ref="F95:F99"/>
    <mergeCell ref="B100:B104"/>
    <mergeCell ref="D100:D104"/>
    <mergeCell ref="E100:E104"/>
    <mergeCell ref="F100:F104"/>
    <mergeCell ref="B83:B87"/>
    <mergeCell ref="D83:D87"/>
    <mergeCell ref="E83:E87"/>
    <mergeCell ref="F83:F87"/>
    <mergeCell ref="B88:B92"/>
    <mergeCell ref="D88:D92"/>
    <mergeCell ref="E88:E92"/>
    <mergeCell ref="F88:F92"/>
    <mergeCell ref="B71:B75"/>
    <mergeCell ref="D71:D75"/>
    <mergeCell ref="E71:E75"/>
    <mergeCell ref="F71:F75"/>
    <mergeCell ref="B76:B80"/>
    <mergeCell ref="D76:D80"/>
    <mergeCell ref="E76:E80"/>
    <mergeCell ref="F76:F80"/>
    <mergeCell ref="B59:B63"/>
    <mergeCell ref="D59:D63"/>
    <mergeCell ref="E59:E63"/>
    <mergeCell ref="F59:F63"/>
    <mergeCell ref="B64:B68"/>
    <mergeCell ref="D64:D68"/>
    <mergeCell ref="E64:E68"/>
    <mergeCell ref="F64:F68"/>
    <mergeCell ref="B47:B51"/>
    <mergeCell ref="D47:D51"/>
    <mergeCell ref="E47:E51"/>
    <mergeCell ref="F47:F51"/>
    <mergeCell ref="B52:B56"/>
    <mergeCell ref="D52:D56"/>
    <mergeCell ref="E52:E56"/>
    <mergeCell ref="F52:F56"/>
    <mergeCell ref="B35:B39"/>
    <mergeCell ref="D35:D39"/>
    <mergeCell ref="E35:E39"/>
    <mergeCell ref="F35:F39"/>
    <mergeCell ref="B40:B44"/>
    <mergeCell ref="D40:D44"/>
    <mergeCell ref="E40:E44"/>
    <mergeCell ref="F40:F44"/>
    <mergeCell ref="B23:B27"/>
    <mergeCell ref="D23:D27"/>
    <mergeCell ref="E23:E27"/>
    <mergeCell ref="F23:F27"/>
    <mergeCell ref="B28:B32"/>
    <mergeCell ref="D28:D32"/>
    <mergeCell ref="E28:E32"/>
    <mergeCell ref="F28:F32"/>
    <mergeCell ref="B9:B13"/>
    <mergeCell ref="D9:D13"/>
    <mergeCell ref="E9:E13"/>
    <mergeCell ref="F9:F13"/>
    <mergeCell ref="B14:B18"/>
    <mergeCell ref="D14:D18"/>
    <mergeCell ref="E14:E18"/>
    <mergeCell ref="F14:F18"/>
  </mergeCells>
  <hyperlinks>
    <hyperlink ref="A2" r:id="rId1" display="https://www.scoresandodds.com/nfl/odds" xr:uid="{81E86DF8-E915-4CAC-A822-390058778A12}"/>
    <hyperlink ref="A3" r:id="rId2" display="https://www.scoresandodds.com/nfl/consensus-picks" xr:uid="{6EC20B16-D710-4FB6-B0D8-9E44D9E323B7}"/>
    <hyperlink ref="A4" r:id="rId3" display="https://www.scoresandodds.com/nfl/more-lines" xr:uid="{F168BB37-3761-4E63-84E0-6195CA1D536D}"/>
    <hyperlink ref="A5" r:id="rId4" display="https://www.scoresandodds.com/nfl/props" xr:uid="{8B194549-FEEA-4855-BFE2-5B8111A91019}"/>
    <hyperlink ref="A6" r:id="rId5" display="https://www.scoresandodds.com/nfl/parlays" xr:uid="{89C2081C-6761-4543-8A85-C5BA3FC74896}"/>
    <hyperlink ref="A7" r:id="rId6" display="https://www.scoresandodds.com/nfl/picks" xr:uid="{B67A6F8C-D410-4704-91BE-B6CC3F992DD2}"/>
    <hyperlink ref="A10" r:id="rId7" display="https://www.scoresandodds.com/nfl/teams/raiders" xr:uid="{647539C9-64CC-419E-9D75-FEFA45E5BCA3}"/>
    <hyperlink ref="A15" r:id="rId8" display="https://www.scoresandodds.com/nfl/teams/broncos" xr:uid="{CBBE1D4B-0402-4524-BA41-A782E719A941}"/>
    <hyperlink ref="A24" r:id="rId9" display="https://www.scoresandodds.com/nfl/teams/falcons" xr:uid="{2B360DB3-DD75-4E23-B5ED-4BCE65FAD20C}"/>
    <hyperlink ref="A29" r:id="rId10" display="https://www.scoresandodds.com/nfl/teams/colts" xr:uid="{8684D500-5A9A-47AE-8A93-2095CA49ABC1}"/>
    <hyperlink ref="A36" r:id="rId11" display="https://www.scoresandodds.com/nfl/teams/bills" xr:uid="{55BF5B5D-3098-4466-A09A-4A9B9FAB58A2}"/>
    <hyperlink ref="A41" r:id="rId12" display="https://www.scoresandodds.com/nfl/teams/dolphins" xr:uid="{99D95D74-DF43-4900-A3F6-748E9D630520}"/>
    <hyperlink ref="A48" r:id="rId13" display="https://www.scoresandodds.com/nfl/teams/saints" xr:uid="{3D35A496-BAA6-4102-AB83-BD806F10235E}"/>
    <hyperlink ref="A53" r:id="rId14" display="https://www.scoresandodds.com/nfl/teams/panthers" xr:uid="{03271D54-9D0E-41FA-9FC7-E833014777E0}"/>
    <hyperlink ref="A60" r:id="rId15" display="https://www.scoresandodds.com/nfl/teams/ravens" xr:uid="{C5C910D2-BEA2-4821-80C5-C48CF7A5E2F4}"/>
    <hyperlink ref="A65" r:id="rId16" display="https://www.scoresandodds.com/nfl/teams/vikings" xr:uid="{D77EAD69-98E2-411E-91A8-A4693A2B5306}"/>
    <hyperlink ref="A72" r:id="rId17" display="https://www.scoresandodds.com/nfl/teams/patriots" xr:uid="{17D9328E-EB01-4F2D-9681-FE958242F1FF}"/>
    <hyperlink ref="A77" r:id="rId18" display="https://www.scoresandodds.com/nfl/teams/buccaneers" xr:uid="{3128CEAE-2108-4CAE-8B08-1B4EB038023D}"/>
    <hyperlink ref="A84" r:id="rId19" display="https://www.scoresandodds.com/nfl/teams/jaguars" xr:uid="{1EE89D77-2299-4E83-B957-58930B0900C8}"/>
    <hyperlink ref="A89" r:id="rId20" display="https://www.scoresandodds.com/nfl/teams/texans" xr:uid="{F392DDB4-503D-43A9-8BA3-9055D888FA01}"/>
    <hyperlink ref="A96" r:id="rId21" display="https://www.scoresandodds.com/nfl/teams/browns" xr:uid="{57EAF95B-82DD-436F-AA44-DE0062C9CB76}"/>
    <hyperlink ref="A101" r:id="rId22" display="https://www.scoresandodds.com/nfl/teams/jets" xr:uid="{3818CAF0-D002-4E42-AB2A-E6F8654365F1}"/>
    <hyperlink ref="A108" r:id="rId23" display="https://www.scoresandodds.com/nfl/teams/giants" xr:uid="{4CB3AE10-D4C7-44A7-814B-BB7AC5129BC8}"/>
    <hyperlink ref="A113" r:id="rId24" display="https://www.scoresandodds.com/nfl/teams/bears" xr:uid="{5AAEC575-7A22-4F12-8442-B3FAB7701CE2}"/>
    <hyperlink ref="A120" r:id="rId25" display="https://www.scoresandodds.com/nfl/teams/cardinals" xr:uid="{3F26D6F6-1C50-4FE6-821E-FC77DFD31C7D}"/>
    <hyperlink ref="A125" r:id="rId26" display="https://www.scoresandodds.com/nfl/teams/seahawks" xr:uid="{BFD0264F-7019-46AC-9538-BC2435F6FE6C}"/>
    <hyperlink ref="A132" r:id="rId27" display="https://www.scoresandodds.com/nfl/teams/lions" xr:uid="{AD5316C7-2A5C-4856-834D-A993A4D5B27B}"/>
    <hyperlink ref="A137" r:id="rId28" display="https://www.scoresandodds.com/nfl/teams/commanders" xr:uid="{FA4F87D2-3C8C-4DB8-AD61-A560FBE4B687}"/>
    <hyperlink ref="A144" r:id="rId29" display="https://www.scoresandodds.com/nfl/teams/rams" xr:uid="{266CB819-9E45-4243-B3FD-D7003FE8A1FC}"/>
    <hyperlink ref="A149" r:id="rId30" display="https://www.scoresandodds.com/nfl/teams/49ers" xr:uid="{48F121A3-7D34-4B18-9DBC-847D11AE7385}"/>
    <hyperlink ref="A156" r:id="rId31" display="https://www.scoresandodds.com/nfl/teams/steelers" xr:uid="{B88770B9-5892-45E0-9F75-58B38912D5C5}"/>
    <hyperlink ref="A161" r:id="rId32" display="https://www.scoresandodds.com/nfl/teams/chargers" xr:uid="{7AB75179-C21E-42EB-9592-A80AE9A0626E}"/>
    <hyperlink ref="A169" r:id="rId33" display="https://www.scoresandodds.com/nfl/teams/eagles" xr:uid="{3A1B8CBB-CF9F-43B9-A813-25CA784D5C11}"/>
    <hyperlink ref="A174" r:id="rId34" display="https://www.scoresandodds.com/nfl/teams/packers" xr:uid="{D7F10FD3-5CA9-4662-BBB3-519781B0AC0C}"/>
  </hyperlinks>
  <pageMargins left="0.7" right="0.7" top="0.75" bottom="0.75" header="0.3" footer="0.3"/>
  <drawing r:id="rId3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496DB-5729-4311-8825-0912F3C87426}">
  <dimension ref="A1:F99"/>
  <sheetViews>
    <sheetView workbookViewId="0">
      <selection sqref="A1:F99"/>
    </sheetView>
  </sheetViews>
  <sheetFormatPr baseColWidth="10" defaultRowHeight="15" x14ac:dyDescent="0.25"/>
  <cols>
    <col min="1" max="1" width="53.5703125" bestFit="1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3" spans="1:6" x14ac:dyDescent="0.25">
      <c r="A3" s="2" t="s">
        <v>2</v>
      </c>
    </row>
    <row r="4" spans="1:6" x14ac:dyDescent="0.25">
      <c r="A4" s="2" t="s">
        <v>3</v>
      </c>
    </row>
    <row r="5" spans="1:6" x14ac:dyDescent="0.25">
      <c r="A5" s="2" t="s">
        <v>4</v>
      </c>
    </row>
    <row r="6" spans="1:6" x14ac:dyDescent="0.25">
      <c r="A6" s="2" t="s">
        <v>5</v>
      </c>
    </row>
    <row r="7" spans="1:6" x14ac:dyDescent="0.25">
      <c r="A7" s="2" t="s">
        <v>6</v>
      </c>
    </row>
    <row r="8" spans="1:6" ht="15.75" thickBot="1" x14ac:dyDescent="0.3">
      <c r="A8" s="3" t="s">
        <v>482</v>
      </c>
      <c r="B8" s="4"/>
      <c r="C8" s="4" t="s">
        <v>8</v>
      </c>
      <c r="D8" s="4" t="s">
        <v>9</v>
      </c>
      <c r="E8" s="4" t="s">
        <v>10</v>
      </c>
      <c r="F8" s="4" t="s">
        <v>11</v>
      </c>
    </row>
    <row r="9" spans="1:6" x14ac:dyDescent="0.25">
      <c r="A9" s="5">
        <v>311</v>
      </c>
      <c r="B9" s="14">
        <v>14</v>
      </c>
      <c r="C9" s="32"/>
      <c r="D9" s="18">
        <f>12.5-105</f>
        <v>-92.5</v>
      </c>
      <c r="E9" s="18" t="s">
        <v>387</v>
      </c>
      <c r="F9" s="18">
        <v>625</v>
      </c>
    </row>
    <row r="10" spans="1:6" x14ac:dyDescent="0.25">
      <c r="A10" s="6" t="s">
        <v>395</v>
      </c>
      <c r="B10" s="13"/>
      <c r="C10" s="31"/>
      <c r="D10" s="17"/>
      <c r="E10" s="17"/>
      <c r="F10" s="17"/>
    </row>
    <row r="11" spans="1:6" x14ac:dyDescent="0.25">
      <c r="A11" s="9">
        <v>312</v>
      </c>
      <c r="B11" s="19">
        <v>27</v>
      </c>
      <c r="C11" s="33"/>
      <c r="D11" s="21">
        <f>-12.5-115</f>
        <v>-127.5</v>
      </c>
      <c r="E11" s="21" t="s">
        <v>315</v>
      </c>
      <c r="F11" s="21">
        <v>-950</v>
      </c>
    </row>
    <row r="12" spans="1:6" x14ac:dyDescent="0.25">
      <c r="A12" s="10" t="s">
        <v>429</v>
      </c>
      <c r="B12" s="19"/>
      <c r="C12" s="33"/>
      <c r="D12" s="21"/>
      <c r="E12" s="21"/>
      <c r="F12" s="21"/>
    </row>
    <row r="13" spans="1:6" ht="38.25" thickBot="1" x14ac:dyDescent="0.3">
      <c r="A13" s="22" t="s">
        <v>17</v>
      </c>
    </row>
    <row r="14" spans="1:6" ht="67.5" x14ac:dyDescent="0.25">
      <c r="A14" s="27" t="s">
        <v>116</v>
      </c>
    </row>
    <row r="15" spans="1:6" x14ac:dyDescent="0.25">
      <c r="A15" s="23" t="s">
        <v>483</v>
      </c>
    </row>
    <row r="16" spans="1:6" ht="15.75" thickBot="1" x14ac:dyDescent="0.3">
      <c r="A16" s="3" t="s">
        <v>484</v>
      </c>
      <c r="B16" s="4"/>
      <c r="C16" s="4" t="s">
        <v>8</v>
      </c>
      <c r="D16" s="4" t="s">
        <v>9</v>
      </c>
      <c r="E16" s="4" t="s">
        <v>10</v>
      </c>
      <c r="F16" s="4" t="s">
        <v>11</v>
      </c>
    </row>
    <row r="17" spans="1:6" x14ac:dyDescent="0.25">
      <c r="A17" s="5">
        <v>451</v>
      </c>
      <c r="B17" s="14">
        <v>13</v>
      </c>
      <c r="C17" s="32"/>
      <c r="D17" s="18">
        <f>2.5-102</f>
        <v>-99.5</v>
      </c>
      <c r="E17" s="18" t="s">
        <v>485</v>
      </c>
      <c r="F17" s="18">
        <v>130</v>
      </c>
    </row>
    <row r="18" spans="1:6" x14ac:dyDescent="0.25">
      <c r="A18" s="6" t="s">
        <v>424</v>
      </c>
      <c r="B18" s="13"/>
      <c r="C18" s="31"/>
      <c r="D18" s="17"/>
      <c r="E18" s="17"/>
      <c r="F18" s="17"/>
    </row>
    <row r="19" spans="1:6" x14ac:dyDescent="0.25">
      <c r="A19" s="9">
        <v>452</v>
      </c>
      <c r="B19" s="19">
        <v>16</v>
      </c>
      <c r="C19" s="33"/>
      <c r="D19" s="21">
        <f>-2.5-118</f>
        <v>-120.5</v>
      </c>
      <c r="E19" s="21" t="s">
        <v>486</v>
      </c>
      <c r="F19" s="21">
        <v>-155</v>
      </c>
    </row>
    <row r="20" spans="1:6" x14ac:dyDescent="0.25">
      <c r="A20" s="10" t="s">
        <v>391</v>
      </c>
      <c r="B20" s="19"/>
      <c r="C20" s="33"/>
      <c r="D20" s="21"/>
      <c r="E20" s="21"/>
      <c r="F20" s="21"/>
    </row>
    <row r="21" spans="1:6" ht="37.5" x14ac:dyDescent="0.25">
      <c r="A21" s="22" t="s">
        <v>17</v>
      </c>
    </row>
    <row r="22" spans="1:6" ht="15.75" thickBot="1" x14ac:dyDescent="0.3">
      <c r="A22" s="3" t="s">
        <v>487</v>
      </c>
      <c r="B22" s="4"/>
      <c r="C22" s="4" t="s">
        <v>8</v>
      </c>
      <c r="D22" s="4" t="s">
        <v>9</v>
      </c>
      <c r="E22" s="4" t="s">
        <v>10</v>
      </c>
      <c r="F22" s="4" t="s">
        <v>11</v>
      </c>
    </row>
    <row r="23" spans="1:6" x14ac:dyDescent="0.25">
      <c r="A23" s="5">
        <v>459</v>
      </c>
      <c r="B23" s="25">
        <v>16</v>
      </c>
      <c r="C23" s="32"/>
      <c r="D23" s="18">
        <f>-5.5-108</f>
        <v>-113.5</v>
      </c>
      <c r="E23" s="18" t="s">
        <v>488</v>
      </c>
      <c r="F23" s="16">
        <v>-265</v>
      </c>
    </row>
    <row r="24" spans="1:6" x14ac:dyDescent="0.25">
      <c r="A24" s="6" t="s">
        <v>409</v>
      </c>
      <c r="B24" s="24"/>
      <c r="C24" s="31"/>
      <c r="D24" s="17"/>
      <c r="E24" s="17"/>
      <c r="F24" s="15"/>
    </row>
    <row r="25" spans="1:6" x14ac:dyDescent="0.25">
      <c r="A25" s="9">
        <v>460</v>
      </c>
      <c r="B25" s="26">
        <v>13</v>
      </c>
      <c r="C25" s="33"/>
      <c r="D25" s="21">
        <f>5.5-112</f>
        <v>-106.5</v>
      </c>
      <c r="E25" s="21" t="s">
        <v>274</v>
      </c>
      <c r="F25" s="20">
        <v>215</v>
      </c>
    </row>
    <row r="26" spans="1:6" x14ac:dyDescent="0.25">
      <c r="A26" s="10" t="s">
        <v>404</v>
      </c>
      <c r="B26" s="26"/>
      <c r="C26" s="33"/>
      <c r="D26" s="21"/>
      <c r="E26" s="21"/>
      <c r="F26" s="20"/>
    </row>
    <row r="27" spans="1:6" ht="37.5" x14ac:dyDescent="0.25">
      <c r="A27" s="22" t="s">
        <v>17</v>
      </c>
    </row>
    <row r="28" spans="1:6" ht="15.75" thickBot="1" x14ac:dyDescent="0.3">
      <c r="A28" s="3" t="s">
        <v>487</v>
      </c>
      <c r="B28" s="4"/>
      <c r="C28" s="4" t="s">
        <v>8</v>
      </c>
      <c r="D28" s="4" t="s">
        <v>9</v>
      </c>
      <c r="E28" s="4" t="s">
        <v>10</v>
      </c>
      <c r="F28" s="4" t="s">
        <v>11</v>
      </c>
    </row>
    <row r="29" spans="1:6" x14ac:dyDescent="0.25">
      <c r="A29" s="5">
        <v>463</v>
      </c>
      <c r="B29" s="25">
        <v>30</v>
      </c>
      <c r="C29" s="32"/>
      <c r="D29" s="16">
        <f>3.5-102</f>
        <v>-98.5</v>
      </c>
      <c r="E29" s="16" t="s">
        <v>301</v>
      </c>
      <c r="F29" s="16">
        <v>180</v>
      </c>
    </row>
    <row r="30" spans="1:6" x14ac:dyDescent="0.25">
      <c r="A30" s="6" t="s">
        <v>393</v>
      </c>
      <c r="B30" s="24"/>
      <c r="C30" s="31"/>
      <c r="D30" s="15"/>
      <c r="E30" s="15"/>
      <c r="F30" s="15"/>
    </row>
    <row r="31" spans="1:6" x14ac:dyDescent="0.25">
      <c r="A31" s="9">
        <v>464</v>
      </c>
      <c r="B31" s="26">
        <v>27</v>
      </c>
      <c r="C31" s="33"/>
      <c r="D31" s="20">
        <f>-3.5-118</f>
        <v>-121.5</v>
      </c>
      <c r="E31" s="20" t="s">
        <v>155</v>
      </c>
      <c r="F31" s="20">
        <v>-225</v>
      </c>
    </row>
    <row r="32" spans="1:6" x14ac:dyDescent="0.25">
      <c r="A32" s="10" t="s">
        <v>394</v>
      </c>
      <c r="B32" s="26"/>
      <c r="C32" s="33"/>
      <c r="D32" s="20"/>
      <c r="E32" s="20"/>
      <c r="F32" s="20"/>
    </row>
    <row r="33" spans="1:6" ht="37.5" x14ac:dyDescent="0.25">
      <c r="A33" s="22" t="s">
        <v>17</v>
      </c>
    </row>
    <row r="34" spans="1:6" ht="15.75" thickBot="1" x14ac:dyDescent="0.3">
      <c r="A34" s="3" t="s">
        <v>487</v>
      </c>
      <c r="B34" s="4"/>
      <c r="C34" s="4" t="s">
        <v>8</v>
      </c>
      <c r="D34" s="4" t="s">
        <v>9</v>
      </c>
      <c r="E34" s="4" t="s">
        <v>10</v>
      </c>
      <c r="F34" s="4" t="s">
        <v>11</v>
      </c>
    </row>
    <row r="35" spans="1:6" x14ac:dyDescent="0.25">
      <c r="A35" s="5">
        <v>457</v>
      </c>
      <c r="B35" s="14">
        <v>12</v>
      </c>
      <c r="C35" s="32"/>
      <c r="D35" s="18">
        <f>5.5-108</f>
        <v>-102.5</v>
      </c>
      <c r="E35" s="18" t="s">
        <v>21</v>
      </c>
      <c r="F35" s="18">
        <v>205</v>
      </c>
    </row>
    <row r="36" spans="1:6" x14ac:dyDescent="0.25">
      <c r="A36" s="6" t="s">
        <v>381</v>
      </c>
      <c r="B36" s="13"/>
      <c r="C36" s="31"/>
      <c r="D36" s="17"/>
      <c r="E36" s="17"/>
      <c r="F36" s="17"/>
    </row>
    <row r="37" spans="1:6" x14ac:dyDescent="0.25">
      <c r="A37" s="9">
        <v>458</v>
      </c>
      <c r="B37" s="19">
        <v>34</v>
      </c>
      <c r="C37" s="33"/>
      <c r="D37" s="21">
        <f>-5.5-112</f>
        <v>-117.5</v>
      </c>
      <c r="E37" s="21" t="s">
        <v>23</v>
      </c>
      <c r="F37" s="21">
        <v>-245</v>
      </c>
    </row>
    <row r="38" spans="1:6" x14ac:dyDescent="0.25">
      <c r="A38" s="10" t="s">
        <v>416</v>
      </c>
      <c r="B38" s="19"/>
      <c r="C38" s="33"/>
      <c r="D38" s="21"/>
      <c r="E38" s="21"/>
      <c r="F38" s="21"/>
    </row>
    <row r="39" spans="1:6" ht="37.5" x14ac:dyDescent="0.25">
      <c r="A39" s="22" t="s">
        <v>17</v>
      </c>
    </row>
    <row r="40" spans="1:6" ht="15.75" thickBot="1" x14ac:dyDescent="0.3">
      <c r="A40" s="3" t="s">
        <v>487</v>
      </c>
      <c r="B40" s="4"/>
      <c r="C40" s="4" t="s">
        <v>8</v>
      </c>
      <c r="D40" s="4" t="s">
        <v>9</v>
      </c>
      <c r="E40" s="4" t="s">
        <v>10</v>
      </c>
      <c r="F40" s="4" t="s">
        <v>11</v>
      </c>
    </row>
    <row r="41" spans="1:6" x14ac:dyDescent="0.25">
      <c r="A41" s="5">
        <v>465</v>
      </c>
      <c r="B41" s="14">
        <v>6</v>
      </c>
      <c r="C41" s="32"/>
      <c r="D41" s="18">
        <f>-3-105</f>
        <v>-108</v>
      </c>
      <c r="E41" s="18" t="s">
        <v>185</v>
      </c>
      <c r="F41" s="18">
        <v>-148</v>
      </c>
    </row>
    <row r="42" spans="1:6" x14ac:dyDescent="0.25">
      <c r="A42" s="6" t="s">
        <v>421</v>
      </c>
      <c r="B42" s="13"/>
      <c r="C42" s="31"/>
      <c r="D42" s="17"/>
      <c r="E42" s="17"/>
      <c r="F42" s="17"/>
    </row>
    <row r="43" spans="1:6" x14ac:dyDescent="0.25">
      <c r="A43" s="9">
        <v>466</v>
      </c>
      <c r="B43" s="19">
        <v>35</v>
      </c>
      <c r="C43" s="33"/>
      <c r="D43" s="21">
        <f>3-115</f>
        <v>-112</v>
      </c>
      <c r="E43" s="21" t="s">
        <v>187</v>
      </c>
      <c r="F43" s="21">
        <v>124</v>
      </c>
    </row>
    <row r="44" spans="1:6" x14ac:dyDescent="0.25">
      <c r="A44" s="10" t="s">
        <v>403</v>
      </c>
      <c r="B44" s="19"/>
      <c r="C44" s="33"/>
      <c r="D44" s="21"/>
      <c r="E44" s="21"/>
      <c r="F44" s="21"/>
    </row>
    <row r="45" spans="1:6" ht="37.5" x14ac:dyDescent="0.25">
      <c r="A45" s="22" t="s">
        <v>17</v>
      </c>
    </row>
    <row r="46" spans="1:6" ht="15.75" thickBot="1" x14ac:dyDescent="0.3">
      <c r="A46" s="3" t="s">
        <v>487</v>
      </c>
      <c r="B46" s="4"/>
      <c r="C46" s="4" t="s">
        <v>8</v>
      </c>
      <c r="D46" s="4" t="s">
        <v>9</v>
      </c>
      <c r="E46" s="4" t="s">
        <v>10</v>
      </c>
      <c r="F46" s="4" t="s">
        <v>11</v>
      </c>
    </row>
    <row r="47" spans="1:6" x14ac:dyDescent="0.25">
      <c r="A47" s="5">
        <v>453</v>
      </c>
      <c r="B47" s="25">
        <v>27</v>
      </c>
      <c r="C47" s="32"/>
      <c r="D47" s="16">
        <f>-5.5-120</f>
        <v>-125.5</v>
      </c>
      <c r="E47" s="16" t="s">
        <v>489</v>
      </c>
      <c r="F47" s="16">
        <v>-298</v>
      </c>
    </row>
    <row r="48" spans="1:6" x14ac:dyDescent="0.25">
      <c r="A48" s="6" t="s">
        <v>370</v>
      </c>
      <c r="B48" s="24"/>
      <c r="C48" s="31"/>
      <c r="D48" s="15"/>
      <c r="E48" s="15"/>
      <c r="F48" s="15"/>
    </row>
    <row r="49" spans="1:6" x14ac:dyDescent="0.25">
      <c r="A49" s="9">
        <v>454</v>
      </c>
      <c r="B49" s="26">
        <v>20</v>
      </c>
      <c r="C49" s="33"/>
      <c r="D49" s="20">
        <f>5.5-110</f>
        <v>-104.5</v>
      </c>
      <c r="E49" s="20" t="s">
        <v>155</v>
      </c>
      <c r="F49" s="20">
        <v>220</v>
      </c>
    </row>
    <row r="50" spans="1:6" x14ac:dyDescent="0.25">
      <c r="A50" s="10" t="s">
        <v>427</v>
      </c>
      <c r="B50" s="26"/>
      <c r="C50" s="33"/>
      <c r="D50" s="20"/>
      <c r="E50" s="20"/>
      <c r="F50" s="20"/>
    </row>
    <row r="51" spans="1:6" ht="37.5" x14ac:dyDescent="0.25">
      <c r="A51" s="22" t="s">
        <v>17</v>
      </c>
    </row>
    <row r="52" spans="1:6" ht="15.75" thickBot="1" x14ac:dyDescent="0.3">
      <c r="A52" s="3" t="s">
        <v>487</v>
      </c>
      <c r="B52" s="4"/>
      <c r="C52" s="4" t="s">
        <v>8</v>
      </c>
      <c r="D52" s="4" t="s">
        <v>9</v>
      </c>
      <c r="E52" s="4" t="s">
        <v>10</v>
      </c>
      <c r="F52" s="4" t="s">
        <v>11</v>
      </c>
    </row>
    <row r="53" spans="1:6" x14ac:dyDescent="0.25">
      <c r="A53" s="5">
        <v>455</v>
      </c>
      <c r="B53" s="14">
        <v>32</v>
      </c>
      <c r="C53" s="32"/>
      <c r="D53" s="18">
        <f>6.5-110</f>
        <v>-103.5</v>
      </c>
      <c r="E53" s="16" t="s">
        <v>51</v>
      </c>
      <c r="F53" s="18">
        <v>245</v>
      </c>
    </row>
    <row r="54" spans="1:6" x14ac:dyDescent="0.25">
      <c r="A54" s="6" t="s">
        <v>408</v>
      </c>
      <c r="B54" s="13"/>
      <c r="C54" s="31"/>
      <c r="D54" s="17"/>
      <c r="E54" s="15"/>
      <c r="F54" s="17"/>
    </row>
    <row r="55" spans="1:6" x14ac:dyDescent="0.25">
      <c r="A55" s="9">
        <v>456</v>
      </c>
      <c r="B55" s="19">
        <v>44</v>
      </c>
      <c r="C55" s="33"/>
      <c r="D55" s="21">
        <f>-6.5-110</f>
        <v>-116.5</v>
      </c>
      <c r="E55" s="20" t="s">
        <v>53</v>
      </c>
      <c r="F55" s="21">
        <v>-305</v>
      </c>
    </row>
    <row r="56" spans="1:6" x14ac:dyDescent="0.25">
      <c r="A56" s="10" t="s">
        <v>415</v>
      </c>
      <c r="B56" s="19"/>
      <c r="C56" s="33"/>
      <c r="D56" s="21"/>
      <c r="E56" s="20"/>
      <c r="F56" s="21"/>
    </row>
    <row r="57" spans="1:6" ht="37.5" x14ac:dyDescent="0.25">
      <c r="A57" s="22" t="s">
        <v>17</v>
      </c>
    </row>
    <row r="58" spans="1:6" ht="15.75" thickBot="1" x14ac:dyDescent="0.3">
      <c r="A58" s="3" t="s">
        <v>487</v>
      </c>
      <c r="B58" s="4"/>
      <c r="C58" s="4" t="s">
        <v>8</v>
      </c>
      <c r="D58" s="4" t="s">
        <v>9</v>
      </c>
      <c r="E58" s="4" t="s">
        <v>10</v>
      </c>
      <c r="F58" s="4" t="s">
        <v>11</v>
      </c>
    </row>
    <row r="59" spans="1:6" x14ac:dyDescent="0.25">
      <c r="A59" s="5">
        <v>461</v>
      </c>
      <c r="B59" s="25">
        <v>19</v>
      </c>
      <c r="C59" s="32"/>
      <c r="D59" s="16">
        <f>2.5-120</f>
        <v>-117.5</v>
      </c>
      <c r="E59" s="18" t="s">
        <v>309</v>
      </c>
      <c r="F59" s="16">
        <v>110</v>
      </c>
    </row>
    <row r="60" spans="1:6" x14ac:dyDescent="0.25">
      <c r="A60" s="6" t="s">
        <v>386</v>
      </c>
      <c r="B60" s="24"/>
      <c r="C60" s="31"/>
      <c r="D60" s="15"/>
      <c r="E60" s="17"/>
      <c r="F60" s="15"/>
    </row>
    <row r="61" spans="1:6" x14ac:dyDescent="0.25">
      <c r="A61" s="9">
        <v>462</v>
      </c>
      <c r="B61" s="26">
        <v>17</v>
      </c>
      <c r="C61" s="33"/>
      <c r="D61" s="20">
        <f>-2.5-110</f>
        <v>-112.5</v>
      </c>
      <c r="E61" s="21" t="s">
        <v>373</v>
      </c>
      <c r="F61" s="20">
        <v>-140</v>
      </c>
    </row>
    <row r="62" spans="1:6" x14ac:dyDescent="0.25">
      <c r="A62" s="10" t="s">
        <v>412</v>
      </c>
      <c r="B62" s="26"/>
      <c r="C62" s="33"/>
      <c r="D62" s="20"/>
      <c r="E62" s="21"/>
      <c r="F62" s="20"/>
    </row>
    <row r="63" spans="1:6" ht="37.5" x14ac:dyDescent="0.25">
      <c r="A63" s="22" t="s">
        <v>17</v>
      </c>
    </row>
    <row r="64" spans="1:6" ht="15.75" thickBot="1" x14ac:dyDescent="0.3">
      <c r="A64" s="3" t="s">
        <v>490</v>
      </c>
      <c r="B64" s="4"/>
      <c r="C64" s="4" t="s">
        <v>8</v>
      </c>
      <c r="D64" s="4" t="s">
        <v>9</v>
      </c>
      <c r="E64" s="4" t="s">
        <v>10</v>
      </c>
      <c r="F64" s="4" t="s">
        <v>11</v>
      </c>
    </row>
    <row r="65" spans="1:6" x14ac:dyDescent="0.25">
      <c r="A65" s="5">
        <v>469</v>
      </c>
      <c r="B65" s="25">
        <v>41</v>
      </c>
      <c r="C65" s="32"/>
      <c r="D65" s="16" t="s">
        <v>211</v>
      </c>
      <c r="E65" s="16" t="s">
        <v>491</v>
      </c>
      <c r="F65" s="16">
        <v>-192</v>
      </c>
    </row>
    <row r="66" spans="1:6" x14ac:dyDescent="0.25">
      <c r="A66" s="6" t="s">
        <v>396</v>
      </c>
      <c r="B66" s="24"/>
      <c r="C66" s="31"/>
      <c r="D66" s="15"/>
      <c r="E66" s="15"/>
      <c r="F66" s="15"/>
    </row>
    <row r="67" spans="1:6" x14ac:dyDescent="0.25">
      <c r="A67" s="9">
        <v>470</v>
      </c>
      <c r="B67" s="26">
        <v>22</v>
      </c>
      <c r="C67" s="33"/>
      <c r="D67" s="20">
        <f>3.5-120</f>
        <v>-116.5</v>
      </c>
      <c r="E67" s="20" t="s">
        <v>492</v>
      </c>
      <c r="F67" s="20">
        <v>154</v>
      </c>
    </row>
    <row r="68" spans="1:6" x14ac:dyDescent="0.25">
      <c r="A68" s="10" t="s">
        <v>405</v>
      </c>
      <c r="B68" s="26"/>
      <c r="C68" s="33"/>
      <c r="D68" s="20"/>
      <c r="E68" s="20"/>
      <c r="F68" s="20"/>
    </row>
    <row r="69" spans="1:6" ht="37.5" x14ac:dyDescent="0.25">
      <c r="A69" s="22" t="s">
        <v>17</v>
      </c>
    </row>
    <row r="70" spans="1:6" ht="15.75" thickBot="1" x14ac:dyDescent="0.3">
      <c r="A70" s="3" t="s">
        <v>490</v>
      </c>
      <c r="B70" s="4"/>
      <c r="C70" s="4" t="s">
        <v>8</v>
      </c>
      <c r="D70" s="4" t="s">
        <v>9</v>
      </c>
      <c r="E70" s="4" t="s">
        <v>10</v>
      </c>
      <c r="F70" s="4" t="s">
        <v>11</v>
      </c>
    </row>
    <row r="71" spans="1:6" x14ac:dyDescent="0.25">
      <c r="A71" s="5">
        <v>467</v>
      </c>
      <c r="B71" s="14">
        <v>19</v>
      </c>
      <c r="C71" s="32"/>
      <c r="D71" s="16" t="s">
        <v>418</v>
      </c>
      <c r="E71" s="18" t="s">
        <v>278</v>
      </c>
      <c r="F71" s="18">
        <v>145</v>
      </c>
    </row>
    <row r="72" spans="1:6" x14ac:dyDescent="0.25">
      <c r="A72" s="6" t="s">
        <v>413</v>
      </c>
      <c r="B72" s="13"/>
      <c r="C72" s="31"/>
      <c r="D72" s="15"/>
      <c r="E72" s="17"/>
      <c r="F72" s="17"/>
    </row>
    <row r="73" spans="1:6" x14ac:dyDescent="0.25">
      <c r="A73" s="9">
        <v>468</v>
      </c>
      <c r="B73" s="19">
        <v>21</v>
      </c>
      <c r="C73" s="33"/>
      <c r="D73" s="20">
        <f>-3-120</f>
        <v>-123</v>
      </c>
      <c r="E73" s="21" t="s">
        <v>280</v>
      </c>
      <c r="F73" s="21">
        <v>-170</v>
      </c>
    </row>
    <row r="74" spans="1:6" x14ac:dyDescent="0.25">
      <c r="A74" s="10" t="s">
        <v>392</v>
      </c>
      <c r="B74" s="19"/>
      <c r="C74" s="33"/>
      <c r="D74" s="20"/>
      <c r="E74" s="21"/>
      <c r="F74" s="21"/>
    </row>
    <row r="75" spans="1:6" ht="37.5" x14ac:dyDescent="0.25">
      <c r="A75" s="22" t="s">
        <v>17</v>
      </c>
    </row>
    <row r="76" spans="1:6" ht="15.75" thickBot="1" x14ac:dyDescent="0.3">
      <c r="A76" s="3" t="s">
        <v>493</v>
      </c>
      <c r="B76" s="4"/>
      <c r="C76" s="4" t="s">
        <v>8</v>
      </c>
      <c r="D76" s="4" t="s">
        <v>9</v>
      </c>
      <c r="E76" s="4" t="s">
        <v>10</v>
      </c>
      <c r="F76" s="4" t="s">
        <v>11</v>
      </c>
    </row>
    <row r="77" spans="1:6" x14ac:dyDescent="0.25">
      <c r="A77" s="5">
        <v>471</v>
      </c>
      <c r="B77" s="25">
        <v>23</v>
      </c>
      <c r="C77" s="32"/>
      <c r="D77" s="18">
        <f>-7.5-105</f>
        <v>-112.5</v>
      </c>
      <c r="E77" s="16" t="s">
        <v>35</v>
      </c>
      <c r="F77" s="16">
        <v>-470</v>
      </c>
    </row>
    <row r="78" spans="1:6" x14ac:dyDescent="0.25">
      <c r="A78" s="6" t="s">
        <v>384</v>
      </c>
      <c r="B78" s="24"/>
      <c r="C78" s="31"/>
      <c r="D78" s="17"/>
      <c r="E78" s="15"/>
      <c r="F78" s="15"/>
    </row>
    <row r="79" spans="1:6" x14ac:dyDescent="0.25">
      <c r="A79" s="9">
        <v>472</v>
      </c>
      <c r="B79" s="26">
        <v>16</v>
      </c>
      <c r="C79" s="33"/>
      <c r="D79" s="21">
        <f>7.5-115</f>
        <v>-107.5</v>
      </c>
      <c r="E79" s="20" t="s">
        <v>37</v>
      </c>
      <c r="F79" s="20">
        <v>340</v>
      </c>
    </row>
    <row r="80" spans="1:6" x14ac:dyDescent="0.25">
      <c r="A80" s="10" t="s">
        <v>398</v>
      </c>
      <c r="B80" s="26"/>
      <c r="C80" s="33"/>
      <c r="D80" s="21"/>
      <c r="E80" s="20"/>
      <c r="F80" s="20"/>
    </row>
    <row r="81" spans="1:6" ht="37.5" x14ac:dyDescent="0.25">
      <c r="A81" s="22" t="s">
        <v>17</v>
      </c>
    </row>
    <row r="82" spans="1:6" ht="15.75" thickBot="1" x14ac:dyDescent="0.3">
      <c r="A82" s="3" t="s">
        <v>493</v>
      </c>
      <c r="B82" s="4"/>
      <c r="C82" s="4" t="s">
        <v>8</v>
      </c>
      <c r="D82" s="4" t="s">
        <v>9</v>
      </c>
      <c r="E82" s="4" t="s">
        <v>10</v>
      </c>
      <c r="F82" s="4" t="s">
        <v>11</v>
      </c>
    </row>
    <row r="83" spans="1:6" x14ac:dyDescent="0.25">
      <c r="A83" s="5">
        <v>473</v>
      </c>
      <c r="B83" s="14">
        <v>19</v>
      </c>
      <c r="C83" s="32"/>
      <c r="D83" s="18">
        <f>-3.5-120</f>
        <v>-123.5</v>
      </c>
      <c r="E83" s="18" t="s">
        <v>192</v>
      </c>
      <c r="F83" s="18">
        <v>-218</v>
      </c>
    </row>
    <row r="84" spans="1:6" x14ac:dyDescent="0.25">
      <c r="A84" s="6" t="s">
        <v>375</v>
      </c>
      <c r="B84" s="13"/>
      <c r="C84" s="31"/>
      <c r="D84" s="17"/>
      <c r="E84" s="17"/>
      <c r="F84" s="17"/>
    </row>
    <row r="85" spans="1:6" x14ac:dyDescent="0.25">
      <c r="A85" s="9">
        <v>474</v>
      </c>
      <c r="B85" s="19">
        <v>22</v>
      </c>
      <c r="C85" s="33"/>
      <c r="D85" s="21" t="s">
        <v>41</v>
      </c>
      <c r="E85" s="21" t="s">
        <v>108</v>
      </c>
      <c r="F85" s="21">
        <v>180</v>
      </c>
    </row>
    <row r="86" spans="1:6" x14ac:dyDescent="0.25">
      <c r="A86" s="10" t="s">
        <v>423</v>
      </c>
      <c r="B86" s="19"/>
      <c r="C86" s="33"/>
      <c r="D86" s="21"/>
      <c r="E86" s="21"/>
      <c r="F86" s="21"/>
    </row>
    <row r="87" spans="1:6" ht="37.5" x14ac:dyDescent="0.25">
      <c r="A87" s="22" t="s">
        <v>17</v>
      </c>
    </row>
    <row r="88" spans="1:6" ht="15.75" thickBot="1" x14ac:dyDescent="0.3">
      <c r="A88" s="3" t="s">
        <v>494</v>
      </c>
      <c r="B88" s="4"/>
      <c r="C88" s="4" t="s">
        <v>8</v>
      </c>
      <c r="D88" s="4" t="s">
        <v>9</v>
      </c>
      <c r="E88" s="4" t="s">
        <v>10</v>
      </c>
      <c r="F88" s="4" t="s">
        <v>11</v>
      </c>
    </row>
    <row r="89" spans="1:6" x14ac:dyDescent="0.25">
      <c r="A89" s="5">
        <v>475</v>
      </c>
      <c r="B89" s="14">
        <v>9</v>
      </c>
      <c r="C89" s="32"/>
      <c r="D89" s="18">
        <f>2.5-110</f>
        <v>-107.5</v>
      </c>
      <c r="E89" s="18" t="s">
        <v>495</v>
      </c>
      <c r="F89" s="18">
        <v>120</v>
      </c>
    </row>
    <row r="90" spans="1:6" x14ac:dyDescent="0.25">
      <c r="A90" s="6" t="s">
        <v>372</v>
      </c>
      <c r="B90" s="13"/>
      <c r="C90" s="31"/>
      <c r="D90" s="17"/>
      <c r="E90" s="17"/>
      <c r="F90" s="17"/>
    </row>
    <row r="91" spans="1:6" x14ac:dyDescent="0.25">
      <c r="A91" s="9">
        <v>476</v>
      </c>
      <c r="B91" s="19">
        <v>16</v>
      </c>
      <c r="C91" s="33"/>
      <c r="D91" s="21">
        <f>-2.5-110</f>
        <v>-112.5</v>
      </c>
      <c r="E91" s="21" t="s">
        <v>31</v>
      </c>
      <c r="F91" s="21">
        <v>-142</v>
      </c>
    </row>
    <row r="92" spans="1:6" x14ac:dyDescent="0.25">
      <c r="A92" s="10" t="s">
        <v>388</v>
      </c>
      <c r="B92" s="19"/>
      <c r="C92" s="33"/>
      <c r="D92" s="21"/>
      <c r="E92" s="21"/>
      <c r="F92" s="21"/>
    </row>
    <row r="93" spans="1:6" ht="38.25" thickBot="1" x14ac:dyDescent="0.3">
      <c r="A93" s="22" t="s">
        <v>17</v>
      </c>
    </row>
    <row r="94" spans="1:6" ht="56.25" x14ac:dyDescent="0.25">
      <c r="A94" s="27" t="s">
        <v>174</v>
      </c>
    </row>
    <row r="95" spans="1:6" ht="15.75" thickBot="1" x14ac:dyDescent="0.3">
      <c r="A95" s="3" t="s">
        <v>496</v>
      </c>
      <c r="B95" s="4"/>
      <c r="C95" s="4" t="s">
        <v>8</v>
      </c>
      <c r="D95" s="4" t="s">
        <v>9</v>
      </c>
      <c r="E95" s="4" t="s">
        <v>10</v>
      </c>
      <c r="F95" s="4" t="s">
        <v>11</v>
      </c>
    </row>
    <row r="96" spans="1:6" x14ac:dyDescent="0.25">
      <c r="A96" s="5">
        <v>477</v>
      </c>
      <c r="B96" s="25">
        <v>33</v>
      </c>
      <c r="C96" s="32"/>
      <c r="D96" s="16">
        <f>-3.5-115</f>
        <v>-118.5</v>
      </c>
      <c r="E96" s="16" t="s">
        <v>24</v>
      </c>
      <c r="F96" s="16">
        <v>-198</v>
      </c>
    </row>
    <row r="97" spans="1:6" x14ac:dyDescent="0.25">
      <c r="A97" s="6" t="s">
        <v>377</v>
      </c>
      <c r="B97" s="24"/>
      <c r="C97" s="31"/>
      <c r="D97" s="15"/>
      <c r="E97" s="15"/>
      <c r="F97" s="15"/>
    </row>
    <row r="98" spans="1:6" x14ac:dyDescent="0.25">
      <c r="A98" s="9">
        <v>478</v>
      </c>
      <c r="B98" s="26">
        <v>16</v>
      </c>
      <c r="C98" s="33"/>
      <c r="D98" s="20">
        <f>3.5-105</f>
        <v>-101.5</v>
      </c>
      <c r="E98" s="20" t="s">
        <v>497</v>
      </c>
      <c r="F98" s="20">
        <v>164</v>
      </c>
    </row>
    <row r="99" spans="1:6" x14ac:dyDescent="0.25">
      <c r="A99" s="10" t="s">
        <v>419</v>
      </c>
      <c r="B99" s="26"/>
      <c r="C99" s="33"/>
      <c r="D99" s="20"/>
      <c r="E99" s="20"/>
      <c r="F99" s="20"/>
    </row>
  </sheetData>
  <mergeCells count="150">
    <mergeCell ref="B96:B97"/>
    <mergeCell ref="C96:C97"/>
    <mergeCell ref="D96:D97"/>
    <mergeCell ref="E96:E97"/>
    <mergeCell ref="F96:F97"/>
    <mergeCell ref="B98:B99"/>
    <mergeCell ref="C98:C99"/>
    <mergeCell ref="D98:D99"/>
    <mergeCell ref="E98:E99"/>
    <mergeCell ref="F98:F99"/>
    <mergeCell ref="B89:B90"/>
    <mergeCell ref="C89:C90"/>
    <mergeCell ref="D89:D90"/>
    <mergeCell ref="E89:E90"/>
    <mergeCell ref="F89:F90"/>
    <mergeCell ref="B91:B92"/>
    <mergeCell ref="C91:C92"/>
    <mergeCell ref="D91:D92"/>
    <mergeCell ref="E91:E92"/>
    <mergeCell ref="F91:F92"/>
    <mergeCell ref="B83:B84"/>
    <mergeCell ref="C83:C84"/>
    <mergeCell ref="D83:D84"/>
    <mergeCell ref="E83:E84"/>
    <mergeCell ref="F83:F84"/>
    <mergeCell ref="B85:B86"/>
    <mergeCell ref="C85:C86"/>
    <mergeCell ref="D85:D86"/>
    <mergeCell ref="E85:E86"/>
    <mergeCell ref="F85:F86"/>
    <mergeCell ref="B77:B78"/>
    <mergeCell ref="C77:C78"/>
    <mergeCell ref="D77:D78"/>
    <mergeCell ref="E77:E78"/>
    <mergeCell ref="F77:F78"/>
    <mergeCell ref="B79:B80"/>
    <mergeCell ref="C79:C80"/>
    <mergeCell ref="D79:D80"/>
    <mergeCell ref="E79:E80"/>
    <mergeCell ref="F79:F80"/>
    <mergeCell ref="B71:B72"/>
    <mergeCell ref="C71:C72"/>
    <mergeCell ref="D71:D72"/>
    <mergeCell ref="E71:E72"/>
    <mergeCell ref="F71:F72"/>
    <mergeCell ref="B73:B74"/>
    <mergeCell ref="C73:C74"/>
    <mergeCell ref="D73:D74"/>
    <mergeCell ref="E73:E74"/>
    <mergeCell ref="F73:F74"/>
    <mergeCell ref="B65:B66"/>
    <mergeCell ref="C65:C66"/>
    <mergeCell ref="D65:D66"/>
    <mergeCell ref="E65:E66"/>
    <mergeCell ref="F65:F66"/>
    <mergeCell ref="B67:B68"/>
    <mergeCell ref="C67:C68"/>
    <mergeCell ref="D67:D68"/>
    <mergeCell ref="E67:E68"/>
    <mergeCell ref="F67:F68"/>
    <mergeCell ref="B59:B60"/>
    <mergeCell ref="C59:C60"/>
    <mergeCell ref="D59:D60"/>
    <mergeCell ref="E59:E60"/>
    <mergeCell ref="F59:F60"/>
    <mergeCell ref="B61:B62"/>
    <mergeCell ref="C61:C62"/>
    <mergeCell ref="D61:D62"/>
    <mergeCell ref="E61:E62"/>
    <mergeCell ref="F61:F62"/>
    <mergeCell ref="B53:B54"/>
    <mergeCell ref="C53:C54"/>
    <mergeCell ref="D53:D54"/>
    <mergeCell ref="E53:E54"/>
    <mergeCell ref="F53:F54"/>
    <mergeCell ref="B55:B56"/>
    <mergeCell ref="C55:C56"/>
    <mergeCell ref="D55:D56"/>
    <mergeCell ref="E55:E56"/>
    <mergeCell ref="F55:F56"/>
    <mergeCell ref="B47:B48"/>
    <mergeCell ref="C47:C48"/>
    <mergeCell ref="D47:D48"/>
    <mergeCell ref="E47:E48"/>
    <mergeCell ref="F47:F48"/>
    <mergeCell ref="B49:B50"/>
    <mergeCell ref="C49:C50"/>
    <mergeCell ref="D49:D50"/>
    <mergeCell ref="E49:E50"/>
    <mergeCell ref="F49:F50"/>
    <mergeCell ref="B41:B42"/>
    <mergeCell ref="C41:C42"/>
    <mergeCell ref="D41:D42"/>
    <mergeCell ref="E41:E42"/>
    <mergeCell ref="F41:F42"/>
    <mergeCell ref="B43:B44"/>
    <mergeCell ref="C43:C44"/>
    <mergeCell ref="D43:D44"/>
    <mergeCell ref="E43:E44"/>
    <mergeCell ref="F43:F44"/>
    <mergeCell ref="B35:B36"/>
    <mergeCell ref="C35:C36"/>
    <mergeCell ref="D35:D36"/>
    <mergeCell ref="E35:E36"/>
    <mergeCell ref="F35:F36"/>
    <mergeCell ref="B37:B38"/>
    <mergeCell ref="C37:C38"/>
    <mergeCell ref="D37:D38"/>
    <mergeCell ref="E37:E38"/>
    <mergeCell ref="F37:F38"/>
    <mergeCell ref="B29:B30"/>
    <mergeCell ref="C29:C30"/>
    <mergeCell ref="D29:D30"/>
    <mergeCell ref="E29:E30"/>
    <mergeCell ref="F29:F30"/>
    <mergeCell ref="B31:B32"/>
    <mergeCell ref="C31:C32"/>
    <mergeCell ref="D31:D32"/>
    <mergeCell ref="E31:E32"/>
    <mergeCell ref="F31:F32"/>
    <mergeCell ref="B23:B24"/>
    <mergeCell ref="C23:C24"/>
    <mergeCell ref="D23:D24"/>
    <mergeCell ref="E23:E24"/>
    <mergeCell ref="F23:F24"/>
    <mergeCell ref="B25:B26"/>
    <mergeCell ref="C25:C26"/>
    <mergeCell ref="D25:D26"/>
    <mergeCell ref="E25:E26"/>
    <mergeCell ref="F25:F26"/>
    <mergeCell ref="B17:B18"/>
    <mergeCell ref="C17:C18"/>
    <mergeCell ref="D17:D18"/>
    <mergeCell ref="E17:E18"/>
    <mergeCell ref="F17:F18"/>
    <mergeCell ref="B19:B20"/>
    <mergeCell ref="C19:C20"/>
    <mergeCell ref="D19:D20"/>
    <mergeCell ref="E19:E20"/>
    <mergeCell ref="F19:F20"/>
    <mergeCell ref="B9:B10"/>
    <mergeCell ref="C9:C10"/>
    <mergeCell ref="D9:D10"/>
    <mergeCell ref="E9:E10"/>
    <mergeCell ref="F9:F10"/>
    <mergeCell ref="B11:B12"/>
    <mergeCell ref="C11:C12"/>
    <mergeCell ref="D11:D12"/>
    <mergeCell ref="E11:E12"/>
    <mergeCell ref="F11:F12"/>
  </mergeCells>
  <hyperlinks>
    <hyperlink ref="A2" r:id="rId1" display="https://www.scoresandodds.com/nfl/odds" xr:uid="{32CA44DD-496B-41B3-AB77-C468EBCEE95C}"/>
    <hyperlink ref="A3" r:id="rId2" display="https://www.scoresandodds.com/nfl/consensus-picks" xr:uid="{75845648-EC5E-4F65-BAA0-543584E14989}"/>
    <hyperlink ref="A4" r:id="rId3" display="https://www.scoresandodds.com/nfl/more-lines" xr:uid="{7950D309-F3EB-45D0-B914-2DDED61696B0}"/>
    <hyperlink ref="A5" r:id="rId4" display="https://www.scoresandodds.com/nfl/props" xr:uid="{BADDDA3C-A673-483E-9CCB-7CA088A649B6}"/>
    <hyperlink ref="A6" r:id="rId5" display="https://www.scoresandodds.com/nfl/parlays" xr:uid="{3647987B-E8F4-4AAA-8F81-66A05CC9377A}"/>
    <hyperlink ref="A7" r:id="rId6" display="https://www.scoresandodds.com/nfl/picks" xr:uid="{BF21D35A-168D-48E9-A5EC-FAA485F8B7BA}"/>
    <hyperlink ref="A10" r:id="rId7" display="https://www.scoresandodds.com/nfl/teams/jets" xr:uid="{6814ED68-8135-4F19-A677-19728700020C}"/>
    <hyperlink ref="A12" r:id="rId8" display="https://www.scoresandodds.com/nfl/teams/patriots" xr:uid="{FA91AD0B-4F6C-46E2-AC10-BFF2224BCD96}"/>
    <hyperlink ref="A18" r:id="rId9" display="https://www.scoresandodds.com/nfl/teams/commanders" xr:uid="{3BC02EC0-8765-4D2E-8ECF-7276E52BCB52}"/>
    <hyperlink ref="A20" r:id="rId10" display="https://www.scoresandodds.com/nfl/teams/dolphins" xr:uid="{E7618D08-E322-4414-AF6A-694D94BBFC42}"/>
    <hyperlink ref="A24" r:id="rId11" display="https://www.scoresandodds.com/nfl/teams/texans" xr:uid="{ED67FA72-AF55-406A-A54A-B3599CBC0ED4}"/>
    <hyperlink ref="A26" r:id="rId12" display="https://www.scoresandodds.com/nfl/teams/titans" xr:uid="{55C31D31-AF49-4404-8221-63555B0B95D3}"/>
    <hyperlink ref="A30" r:id="rId13" display="https://www.scoresandodds.com/nfl/teams/panthers" xr:uid="{C57D891F-5FB3-4599-B1C3-33A38CE25BF8}"/>
    <hyperlink ref="A32" r:id="rId14" display="https://www.scoresandodds.com/nfl/teams/falcons" xr:uid="{C30AE2EA-9689-42B6-8566-42B7CE14D915}"/>
    <hyperlink ref="A36" r:id="rId15" display="https://www.scoresandodds.com/nfl/teams/bengals" xr:uid="{57528A1D-303D-4F93-890F-DE5A10F90ECC}"/>
    <hyperlink ref="A38" r:id="rId16" display="https://www.scoresandodds.com/nfl/teams/steelers" xr:uid="{3E260C88-D426-4E76-A3E0-C0913B3A8DD8}"/>
    <hyperlink ref="A42" r:id="rId17" display="https://www.scoresandodds.com/nfl/teams/chargers" xr:uid="{D3C9F95D-DCF2-45A6-A4D4-69A857F4E44F}"/>
    <hyperlink ref="A44" r:id="rId18" display="https://www.scoresandodds.com/nfl/teams/jaguars" xr:uid="{E3C10514-33D6-4371-8B08-B3F682C410C2}"/>
    <hyperlink ref="A48" r:id="rId19" display="https://www.scoresandodds.com/nfl/teams/packers" xr:uid="{3DF69E5C-5063-446A-A329-9F7A44849BD9}"/>
    <hyperlink ref="A50" r:id="rId20" display="https://www.scoresandodds.com/nfl/teams/giants" xr:uid="{369DCC45-9FBC-439F-BBDF-A11701F5B5E1}"/>
    <hyperlink ref="A54" r:id="rId21" display="https://www.scoresandodds.com/nfl/teams/buccaneers" xr:uid="{26AE073F-5BC4-4920-BBE5-6E5AB0B8B5C2}"/>
    <hyperlink ref="A56" r:id="rId22" display="https://www.scoresandodds.com/nfl/teams/bills" xr:uid="{B86232A8-406D-4313-BBB0-EA20C39270EC}"/>
    <hyperlink ref="A60" r:id="rId23" display="https://www.scoresandodds.com/nfl/teams/bears" xr:uid="{499BB095-8023-4272-B4FC-222A1189C46A}"/>
    <hyperlink ref="A62" r:id="rId24" display="https://www.scoresandodds.com/nfl/teams/vikings" xr:uid="{D4DDBB6C-8B59-4BBA-91F6-A0E4F4E25868}"/>
    <hyperlink ref="A66" r:id="rId25" display="https://www.scoresandodds.com/nfl/teams/49ers" xr:uid="{47ED711B-8227-408F-803F-8E78A040466D}"/>
    <hyperlink ref="A68" r:id="rId26" display="https://www.scoresandodds.com/nfl/teams/cardinals" xr:uid="{55783A7A-7FAD-4098-A5AB-C8B8FE3C26B5}"/>
    <hyperlink ref="A72" r:id="rId27" display="https://www.scoresandodds.com/nfl/teams/seahawks" xr:uid="{F18B7644-461C-471C-817B-69BADC90C321}"/>
    <hyperlink ref="A74" r:id="rId28" display="https://www.scoresandodds.com/nfl/teams/rams" xr:uid="{9B5853BA-50B1-4D69-ADB8-8C623AE7AA20}"/>
    <hyperlink ref="A78" r:id="rId29" display="https://www.scoresandodds.com/nfl/teams/ravens" xr:uid="{3B6B04E4-A76E-49B5-B6B2-43121E364E0B}"/>
    <hyperlink ref="A80" r:id="rId30" display="https://www.scoresandodds.com/nfl/teams/browns" xr:uid="{840F7EC0-2B6A-4169-8C49-B6951EFE4363}"/>
    <hyperlink ref="A84" r:id="rId31" display="https://www.scoresandodds.com/nfl/teams/chiefs" xr:uid="{16A6ED13-F7C4-492E-BB7B-AF237133DE44}"/>
    <hyperlink ref="A86" r:id="rId32" display="https://www.scoresandodds.com/nfl/teams/broncos" xr:uid="{268D8CBD-6733-49E7-B4A3-64090059BB12}"/>
    <hyperlink ref="A90" r:id="rId33" display="https://www.scoresandodds.com/nfl/teams/lions" xr:uid="{D2BBED26-EA5C-434F-81F3-605A61DBC885}"/>
    <hyperlink ref="A92" r:id="rId34" display="https://www.scoresandodds.com/nfl/teams/eagles" xr:uid="{5721970D-A6AD-4B04-B468-699835E67D22}"/>
    <hyperlink ref="A97" r:id="rId35" display="https://www.scoresandodds.com/nfl/teams/cowboys" xr:uid="{DA8EFCA3-2E48-4773-90C7-10FB1B2600F9}"/>
    <hyperlink ref="A99" r:id="rId36" display="https://www.scoresandodds.com/nfl/teams/raiders" xr:uid="{A90B5523-2976-459C-A180-002685E8CD53}"/>
  </hyperlinks>
  <pageMargins left="0.7" right="0.7" top="0.75" bottom="0.75" header="0.3" footer="0.3"/>
  <drawing r:id="rId37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75E5D-323D-43C0-AB71-BC9D57EB3D53}">
  <dimension ref="A1:F177"/>
  <sheetViews>
    <sheetView workbookViewId="0">
      <selection sqref="A1:F177"/>
    </sheetView>
  </sheetViews>
  <sheetFormatPr baseColWidth="10" defaultRowHeight="15" x14ac:dyDescent="0.25"/>
  <cols>
    <col min="1" max="1" width="70.5703125" bestFit="1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3" spans="1:6" x14ac:dyDescent="0.25">
      <c r="A3" s="2" t="s">
        <v>2</v>
      </c>
    </row>
    <row r="4" spans="1:6" x14ac:dyDescent="0.25">
      <c r="A4" s="2" t="s">
        <v>3</v>
      </c>
    </row>
    <row r="5" spans="1:6" x14ac:dyDescent="0.25">
      <c r="A5" s="2" t="s">
        <v>4</v>
      </c>
    </row>
    <row r="6" spans="1:6" x14ac:dyDescent="0.25">
      <c r="A6" s="2" t="s">
        <v>5</v>
      </c>
    </row>
    <row r="7" spans="1:6" x14ac:dyDescent="0.25">
      <c r="A7" s="2" t="s">
        <v>6</v>
      </c>
    </row>
    <row r="8" spans="1:6" ht="15.75" thickBot="1" x14ac:dyDescent="0.3">
      <c r="A8" s="3" t="s">
        <v>431</v>
      </c>
      <c r="B8" s="4"/>
      <c r="C8" s="4" t="s">
        <v>8</v>
      </c>
      <c r="D8" s="4" t="s">
        <v>9</v>
      </c>
      <c r="E8" s="4" t="s">
        <v>10</v>
      </c>
      <c r="F8" s="4" t="s">
        <v>11</v>
      </c>
    </row>
    <row r="9" spans="1:6" x14ac:dyDescent="0.25">
      <c r="A9" s="5">
        <v>111</v>
      </c>
      <c r="B9" s="14">
        <v>19</v>
      </c>
      <c r="C9" s="8">
        <f>-4.5-115</f>
        <v>-119.5</v>
      </c>
      <c r="D9" s="18">
        <f>-4.5-115</f>
        <v>-119.5</v>
      </c>
      <c r="E9" s="18" t="s">
        <v>42</v>
      </c>
      <c r="F9" s="18">
        <v>-230</v>
      </c>
    </row>
    <row r="10" spans="1:6" x14ac:dyDescent="0.25">
      <c r="A10" s="6" t="s">
        <v>432</v>
      </c>
      <c r="B10" s="13"/>
      <c r="C10" s="8"/>
      <c r="D10" s="17"/>
      <c r="E10" s="17"/>
      <c r="F10" s="17"/>
    </row>
    <row r="11" spans="1:6" x14ac:dyDescent="0.25">
      <c r="A11" s="7"/>
      <c r="B11" s="13"/>
      <c r="C11" s="8">
        <f>-5.5-105</f>
        <v>-110.5</v>
      </c>
      <c r="D11" s="17"/>
      <c r="E11" s="17"/>
      <c r="F11" s="17"/>
    </row>
    <row r="12" spans="1:6" x14ac:dyDescent="0.25">
      <c r="A12" s="7"/>
      <c r="B12" s="13"/>
      <c r="C12" s="8"/>
      <c r="D12" s="17"/>
      <c r="E12" s="17"/>
      <c r="F12" s="17"/>
    </row>
    <row r="13" spans="1:6" x14ac:dyDescent="0.25">
      <c r="A13" s="7"/>
      <c r="B13" s="13"/>
      <c r="C13" s="8">
        <f>-5.5-110</f>
        <v>-115.5</v>
      </c>
      <c r="D13" s="17"/>
      <c r="E13" s="17"/>
      <c r="F13" s="17"/>
    </row>
    <row r="14" spans="1:6" x14ac:dyDescent="0.25">
      <c r="A14" s="9">
        <v>112</v>
      </c>
      <c r="B14" s="19">
        <v>23</v>
      </c>
      <c r="C14" s="12" t="s">
        <v>44</v>
      </c>
      <c r="D14" s="21">
        <f>4.5-105</f>
        <v>-100.5</v>
      </c>
      <c r="E14" s="21" t="s">
        <v>44</v>
      </c>
      <c r="F14" s="21">
        <v>195</v>
      </c>
    </row>
    <row r="15" spans="1:6" x14ac:dyDescent="0.25">
      <c r="A15" s="10" t="s">
        <v>433</v>
      </c>
      <c r="B15" s="19"/>
      <c r="C15" s="12"/>
      <c r="D15" s="21"/>
      <c r="E15" s="21"/>
      <c r="F15" s="21"/>
    </row>
    <row r="16" spans="1:6" x14ac:dyDescent="0.25">
      <c r="A16" s="11"/>
      <c r="B16" s="19"/>
      <c r="C16" s="12" t="s">
        <v>44</v>
      </c>
      <c r="D16" s="21"/>
      <c r="E16" s="21"/>
      <c r="F16" s="21"/>
    </row>
    <row r="17" spans="1:6" x14ac:dyDescent="0.25">
      <c r="A17" s="11"/>
      <c r="B17" s="19"/>
      <c r="C17" s="12"/>
      <c r="D17" s="21"/>
      <c r="E17" s="21"/>
      <c r="F17" s="21"/>
    </row>
    <row r="18" spans="1:6" x14ac:dyDescent="0.25">
      <c r="A18" s="11"/>
      <c r="B18" s="19"/>
      <c r="C18" s="12" t="s">
        <v>44</v>
      </c>
      <c r="D18" s="21"/>
      <c r="E18" s="21"/>
      <c r="F18" s="21"/>
    </row>
    <row r="19" spans="1:6" ht="38.25" thickBot="1" x14ac:dyDescent="0.3">
      <c r="A19" s="22" t="s">
        <v>17</v>
      </c>
    </row>
    <row r="20" spans="1:6" ht="67.5" x14ac:dyDescent="0.25">
      <c r="A20" s="27" t="s">
        <v>116</v>
      </c>
    </row>
    <row r="21" spans="1:6" x14ac:dyDescent="0.25">
      <c r="A21" s="23" t="s">
        <v>102</v>
      </c>
    </row>
    <row r="22" spans="1:6" ht="15.75" thickBot="1" x14ac:dyDescent="0.3">
      <c r="A22" s="3" t="s">
        <v>434</v>
      </c>
      <c r="B22" s="4"/>
      <c r="C22" s="4" t="s">
        <v>8</v>
      </c>
      <c r="D22" s="4" t="s">
        <v>9</v>
      </c>
      <c r="E22" s="4" t="s">
        <v>10</v>
      </c>
      <c r="F22" s="4" t="s">
        <v>11</v>
      </c>
    </row>
    <row r="23" spans="1:6" x14ac:dyDescent="0.25">
      <c r="A23" s="5">
        <v>249</v>
      </c>
      <c r="B23" s="25">
        <v>30</v>
      </c>
      <c r="C23" s="8">
        <f>-11.5-115</f>
        <v>-126.5</v>
      </c>
      <c r="D23" s="18">
        <f>-12.5-115</f>
        <v>-127.5</v>
      </c>
      <c r="E23" s="16" t="s">
        <v>289</v>
      </c>
      <c r="F23" s="16">
        <v>-950</v>
      </c>
    </row>
    <row r="24" spans="1:6" x14ac:dyDescent="0.25">
      <c r="A24" s="6" t="s">
        <v>435</v>
      </c>
      <c r="B24" s="24"/>
      <c r="C24" s="8"/>
      <c r="D24" s="17"/>
      <c r="E24" s="15"/>
      <c r="F24" s="15"/>
    </row>
    <row r="25" spans="1:6" x14ac:dyDescent="0.25">
      <c r="A25" s="7"/>
      <c r="B25" s="24"/>
      <c r="C25" s="8">
        <f>-11.5-115</f>
        <v>-126.5</v>
      </c>
      <c r="D25" s="17"/>
      <c r="E25" s="15"/>
      <c r="F25" s="15"/>
    </row>
    <row r="26" spans="1:6" x14ac:dyDescent="0.25">
      <c r="A26" s="7"/>
      <c r="B26" s="24"/>
      <c r="C26" s="8"/>
      <c r="D26" s="17"/>
      <c r="E26" s="15"/>
      <c r="F26" s="15"/>
    </row>
    <row r="27" spans="1:6" x14ac:dyDescent="0.25">
      <c r="A27" s="7"/>
      <c r="B27" s="24"/>
      <c r="C27" s="8">
        <f>-12.5-110</f>
        <v>-122.5</v>
      </c>
      <c r="D27" s="17"/>
      <c r="E27" s="15"/>
      <c r="F27" s="15"/>
    </row>
    <row r="28" spans="1:6" x14ac:dyDescent="0.25">
      <c r="A28" s="9">
        <v>250</v>
      </c>
      <c r="B28" s="26">
        <v>24</v>
      </c>
      <c r="C28" s="12" t="s">
        <v>291</v>
      </c>
      <c r="D28" s="21">
        <f>12.5-105</f>
        <v>-92.5</v>
      </c>
      <c r="E28" s="20" t="s">
        <v>291</v>
      </c>
      <c r="F28" s="20">
        <v>625</v>
      </c>
    </row>
    <row r="29" spans="1:6" x14ac:dyDescent="0.25">
      <c r="A29" s="10" t="s">
        <v>436</v>
      </c>
      <c r="B29" s="26"/>
      <c r="C29" s="12"/>
      <c r="D29" s="21"/>
      <c r="E29" s="20"/>
      <c r="F29" s="20"/>
    </row>
    <row r="30" spans="1:6" x14ac:dyDescent="0.25">
      <c r="A30" s="11"/>
      <c r="B30" s="26"/>
      <c r="C30" s="12" t="s">
        <v>216</v>
      </c>
      <c r="D30" s="21"/>
      <c r="E30" s="20"/>
      <c r="F30" s="20"/>
    </row>
    <row r="31" spans="1:6" x14ac:dyDescent="0.25">
      <c r="A31" s="11"/>
      <c r="B31" s="26"/>
      <c r="C31" s="12"/>
      <c r="D31" s="21"/>
      <c r="E31" s="20"/>
      <c r="F31" s="20"/>
    </row>
    <row r="32" spans="1:6" x14ac:dyDescent="0.25">
      <c r="A32" s="11"/>
      <c r="B32" s="26"/>
      <c r="C32" s="12" t="s">
        <v>216</v>
      </c>
      <c r="D32" s="21"/>
      <c r="E32" s="20"/>
      <c r="F32" s="20"/>
    </row>
    <row r="33" spans="1:6" ht="37.5" x14ac:dyDescent="0.25">
      <c r="A33" s="22" t="s">
        <v>17</v>
      </c>
    </row>
    <row r="34" spans="1:6" ht="15.75" thickBot="1" x14ac:dyDescent="0.3">
      <c r="A34" s="3" t="s">
        <v>434</v>
      </c>
      <c r="B34" s="4"/>
      <c r="C34" s="4" t="s">
        <v>8</v>
      </c>
      <c r="D34" s="4" t="s">
        <v>9</v>
      </c>
      <c r="E34" s="4" t="s">
        <v>10</v>
      </c>
      <c r="F34" s="4" t="s">
        <v>11</v>
      </c>
    </row>
    <row r="35" spans="1:6" x14ac:dyDescent="0.25">
      <c r="A35" s="5">
        <v>245</v>
      </c>
      <c r="B35" s="14">
        <v>27</v>
      </c>
      <c r="C35" s="8" t="s">
        <v>438</v>
      </c>
      <c r="D35" s="16" t="s">
        <v>439</v>
      </c>
      <c r="E35" s="16" t="s">
        <v>438</v>
      </c>
      <c r="F35" s="18">
        <v>700</v>
      </c>
    </row>
    <row r="36" spans="1:6" x14ac:dyDescent="0.25">
      <c r="A36" s="6" t="s">
        <v>437</v>
      </c>
      <c r="B36" s="13"/>
      <c r="C36" s="8"/>
      <c r="D36" s="15"/>
      <c r="E36" s="15"/>
      <c r="F36" s="17"/>
    </row>
    <row r="37" spans="1:6" x14ac:dyDescent="0.25">
      <c r="A37" s="7"/>
      <c r="B37" s="13"/>
      <c r="C37" s="8" t="s">
        <v>438</v>
      </c>
      <c r="D37" s="15"/>
      <c r="E37" s="15"/>
      <c r="F37" s="17"/>
    </row>
    <row r="38" spans="1:6" x14ac:dyDescent="0.25">
      <c r="A38" s="7"/>
      <c r="B38" s="13"/>
      <c r="C38" s="8"/>
      <c r="D38" s="15"/>
      <c r="E38" s="15"/>
      <c r="F38" s="17"/>
    </row>
    <row r="39" spans="1:6" x14ac:dyDescent="0.25">
      <c r="A39" s="7"/>
      <c r="B39" s="13"/>
      <c r="C39" s="8" t="s">
        <v>438</v>
      </c>
      <c r="D39" s="15"/>
      <c r="E39" s="15"/>
      <c r="F39" s="17"/>
    </row>
    <row r="40" spans="1:6" x14ac:dyDescent="0.25">
      <c r="A40" s="9">
        <v>246</v>
      </c>
      <c r="B40" s="19">
        <v>34</v>
      </c>
      <c r="C40" s="12">
        <f>-14.5-105</f>
        <v>-119.5</v>
      </c>
      <c r="D40" s="20">
        <f>-14-120</f>
        <v>-134</v>
      </c>
      <c r="E40" s="20" t="s">
        <v>441</v>
      </c>
      <c r="F40" s="21">
        <v>-1100</v>
      </c>
    </row>
    <row r="41" spans="1:6" x14ac:dyDescent="0.25">
      <c r="A41" s="10" t="s">
        <v>440</v>
      </c>
      <c r="B41" s="19"/>
      <c r="C41" s="12"/>
      <c r="D41" s="20"/>
      <c r="E41" s="20"/>
      <c r="F41" s="21"/>
    </row>
    <row r="42" spans="1:6" x14ac:dyDescent="0.25">
      <c r="A42" s="11"/>
      <c r="B42" s="19"/>
      <c r="C42" s="12">
        <f>-14-115</f>
        <v>-129</v>
      </c>
      <c r="D42" s="20"/>
      <c r="E42" s="20"/>
      <c r="F42" s="21"/>
    </row>
    <row r="43" spans="1:6" x14ac:dyDescent="0.25">
      <c r="A43" s="11"/>
      <c r="B43" s="19"/>
      <c r="C43" s="12"/>
      <c r="D43" s="20"/>
      <c r="E43" s="20"/>
      <c r="F43" s="21"/>
    </row>
    <row r="44" spans="1:6" x14ac:dyDescent="0.25">
      <c r="A44" s="11"/>
      <c r="B44" s="19"/>
      <c r="C44" s="12">
        <f>-14-110</f>
        <v>-124</v>
      </c>
      <c r="D44" s="20"/>
      <c r="E44" s="20"/>
      <c r="F44" s="21"/>
    </row>
    <row r="45" spans="1:6" ht="37.5" x14ac:dyDescent="0.25">
      <c r="A45" s="22" t="s">
        <v>17</v>
      </c>
    </row>
    <row r="46" spans="1:6" ht="15.75" thickBot="1" x14ac:dyDescent="0.3">
      <c r="A46" s="3" t="s">
        <v>434</v>
      </c>
      <c r="B46" s="4"/>
      <c r="C46" s="4" t="s">
        <v>8</v>
      </c>
      <c r="D46" s="4" t="s">
        <v>9</v>
      </c>
      <c r="E46" s="4" t="s">
        <v>10</v>
      </c>
      <c r="F46" s="4" t="s">
        <v>11</v>
      </c>
    </row>
    <row r="47" spans="1:6" x14ac:dyDescent="0.25">
      <c r="A47" s="5">
        <v>251</v>
      </c>
      <c r="B47" s="14">
        <v>6</v>
      </c>
      <c r="C47" s="8" t="s">
        <v>289</v>
      </c>
      <c r="D47" s="18">
        <f>6.5-112</f>
        <v>-105.5</v>
      </c>
      <c r="E47" s="18" t="s">
        <v>289</v>
      </c>
      <c r="F47" s="18">
        <v>235</v>
      </c>
    </row>
    <row r="48" spans="1:6" x14ac:dyDescent="0.25">
      <c r="A48" s="6" t="s">
        <v>442</v>
      </c>
      <c r="B48" s="13"/>
      <c r="C48" s="8"/>
      <c r="D48" s="17"/>
      <c r="E48" s="17"/>
      <c r="F48" s="17"/>
    </row>
    <row r="49" spans="1:6" x14ac:dyDescent="0.25">
      <c r="A49" s="7"/>
      <c r="B49" s="13"/>
      <c r="C49" s="8" t="s">
        <v>289</v>
      </c>
      <c r="D49" s="17"/>
      <c r="E49" s="17"/>
      <c r="F49" s="17"/>
    </row>
    <row r="50" spans="1:6" x14ac:dyDescent="0.25">
      <c r="A50" s="7"/>
      <c r="B50" s="13"/>
      <c r="C50" s="8"/>
      <c r="D50" s="17"/>
      <c r="E50" s="17"/>
      <c r="F50" s="17"/>
    </row>
    <row r="51" spans="1:6" x14ac:dyDescent="0.25">
      <c r="A51" s="7"/>
      <c r="B51" s="13"/>
      <c r="C51" s="8" t="s">
        <v>289</v>
      </c>
      <c r="D51" s="17"/>
      <c r="E51" s="17"/>
      <c r="F51" s="17"/>
    </row>
    <row r="52" spans="1:6" x14ac:dyDescent="0.25">
      <c r="A52" s="9">
        <v>252</v>
      </c>
      <c r="B52" s="19">
        <v>23</v>
      </c>
      <c r="C52" s="12">
        <f>-6.5-108</f>
        <v>-114.5</v>
      </c>
      <c r="D52" s="21">
        <f>-6.5-108</f>
        <v>-114.5</v>
      </c>
      <c r="E52" s="21" t="s">
        <v>291</v>
      </c>
      <c r="F52" s="21">
        <v>-290</v>
      </c>
    </row>
    <row r="53" spans="1:6" x14ac:dyDescent="0.25">
      <c r="A53" s="10" t="s">
        <v>443</v>
      </c>
      <c r="B53" s="19"/>
      <c r="C53" s="12"/>
      <c r="D53" s="21"/>
      <c r="E53" s="21"/>
      <c r="F53" s="21"/>
    </row>
    <row r="54" spans="1:6" x14ac:dyDescent="0.25">
      <c r="A54" s="11"/>
      <c r="B54" s="19"/>
      <c r="C54" s="12">
        <f>-6-115</f>
        <v>-121</v>
      </c>
      <c r="D54" s="21"/>
      <c r="E54" s="21"/>
      <c r="F54" s="21"/>
    </row>
    <row r="55" spans="1:6" x14ac:dyDescent="0.25">
      <c r="A55" s="11"/>
      <c r="B55" s="19"/>
      <c r="C55" s="12"/>
      <c r="D55" s="21"/>
      <c r="E55" s="21"/>
      <c r="F55" s="21"/>
    </row>
    <row r="56" spans="1:6" x14ac:dyDescent="0.25">
      <c r="A56" s="11"/>
      <c r="B56" s="19"/>
      <c r="C56" s="12">
        <f>-6.5-110</f>
        <v>-116.5</v>
      </c>
      <c r="D56" s="21"/>
      <c r="E56" s="21"/>
      <c r="F56" s="21"/>
    </row>
    <row r="57" spans="1:6" ht="37.5" x14ac:dyDescent="0.25">
      <c r="A57" s="22" t="s">
        <v>17</v>
      </c>
    </row>
    <row r="58" spans="1:6" ht="15.75" thickBot="1" x14ac:dyDescent="0.3">
      <c r="A58" s="3" t="s">
        <v>434</v>
      </c>
      <c r="B58" s="4"/>
      <c r="C58" s="4" t="s">
        <v>8</v>
      </c>
      <c r="D58" s="4" t="s">
        <v>9</v>
      </c>
      <c r="E58" s="4" t="s">
        <v>10</v>
      </c>
      <c r="F58" s="4" t="s">
        <v>11</v>
      </c>
    </row>
    <row r="59" spans="1:6" x14ac:dyDescent="0.25">
      <c r="A59" s="5">
        <v>253</v>
      </c>
      <c r="B59" s="14">
        <v>20</v>
      </c>
      <c r="C59" s="8" t="s">
        <v>445</v>
      </c>
      <c r="D59" s="16">
        <f>4.5-118</f>
        <v>-113.5</v>
      </c>
      <c r="E59" s="18" t="s">
        <v>446</v>
      </c>
      <c r="F59" s="18">
        <v>185</v>
      </c>
    </row>
    <row r="60" spans="1:6" x14ac:dyDescent="0.25">
      <c r="A60" s="6" t="s">
        <v>444</v>
      </c>
      <c r="B60" s="13"/>
      <c r="C60" s="8"/>
      <c r="D60" s="15"/>
      <c r="E60" s="17"/>
      <c r="F60" s="17"/>
    </row>
    <row r="61" spans="1:6" x14ac:dyDescent="0.25">
      <c r="A61" s="7"/>
      <c r="B61" s="13"/>
      <c r="C61" s="8" t="s">
        <v>445</v>
      </c>
      <c r="D61" s="15"/>
      <c r="E61" s="17"/>
      <c r="F61" s="17"/>
    </row>
    <row r="62" spans="1:6" x14ac:dyDescent="0.25">
      <c r="A62" s="7"/>
      <c r="B62" s="13"/>
      <c r="C62" s="8"/>
      <c r="D62" s="15"/>
      <c r="E62" s="17"/>
      <c r="F62" s="17"/>
    </row>
    <row r="63" spans="1:6" x14ac:dyDescent="0.25">
      <c r="A63" s="7"/>
      <c r="B63" s="13"/>
      <c r="C63" s="8" t="s">
        <v>64</v>
      </c>
      <c r="D63" s="15"/>
      <c r="E63" s="17"/>
      <c r="F63" s="17"/>
    </row>
    <row r="64" spans="1:6" x14ac:dyDescent="0.25">
      <c r="A64" s="9">
        <v>254</v>
      </c>
      <c r="B64" s="19">
        <v>23</v>
      </c>
      <c r="C64" s="12">
        <f>-4.5-102</f>
        <v>-106.5</v>
      </c>
      <c r="D64" s="20">
        <f>-4.5-102</f>
        <v>-106.5</v>
      </c>
      <c r="E64" s="21" t="s">
        <v>445</v>
      </c>
      <c r="F64" s="21">
        <v>-225</v>
      </c>
    </row>
    <row r="65" spans="1:6" x14ac:dyDescent="0.25">
      <c r="A65" s="10" t="s">
        <v>447</v>
      </c>
      <c r="B65" s="19"/>
      <c r="C65" s="12"/>
      <c r="D65" s="20"/>
      <c r="E65" s="21"/>
      <c r="F65" s="21"/>
    </row>
    <row r="66" spans="1:6" x14ac:dyDescent="0.25">
      <c r="A66" s="11"/>
      <c r="B66" s="19"/>
      <c r="C66" s="12">
        <f>-3.5-120</f>
        <v>-123.5</v>
      </c>
      <c r="D66" s="20"/>
      <c r="E66" s="21"/>
      <c r="F66" s="21"/>
    </row>
    <row r="67" spans="1:6" x14ac:dyDescent="0.25">
      <c r="A67" s="11"/>
      <c r="B67" s="19"/>
      <c r="C67" s="12"/>
      <c r="D67" s="20"/>
      <c r="E67" s="21"/>
      <c r="F67" s="21"/>
    </row>
    <row r="68" spans="1:6" x14ac:dyDescent="0.25">
      <c r="A68" s="11"/>
      <c r="B68" s="19"/>
      <c r="C68" s="12">
        <f>-3.5-120</f>
        <v>-123.5</v>
      </c>
      <c r="D68" s="20"/>
      <c r="E68" s="21"/>
      <c r="F68" s="21"/>
    </row>
    <row r="69" spans="1:6" ht="37.5" x14ac:dyDescent="0.25">
      <c r="A69" s="22" t="s">
        <v>17</v>
      </c>
    </row>
    <row r="70" spans="1:6" ht="15.75" thickBot="1" x14ac:dyDescent="0.3">
      <c r="A70" s="3" t="s">
        <v>434</v>
      </c>
      <c r="B70" s="4"/>
      <c r="C70" s="4" t="s">
        <v>8</v>
      </c>
      <c r="D70" s="4" t="s">
        <v>9</v>
      </c>
      <c r="E70" s="4" t="s">
        <v>10</v>
      </c>
      <c r="F70" s="4" t="s">
        <v>11</v>
      </c>
    </row>
    <row r="71" spans="1:6" x14ac:dyDescent="0.25">
      <c r="A71" s="5">
        <v>241</v>
      </c>
      <c r="B71" s="14">
        <v>28</v>
      </c>
      <c r="C71" s="8" t="s">
        <v>230</v>
      </c>
      <c r="D71" s="29">
        <f>3-115</f>
        <v>-112</v>
      </c>
      <c r="E71" s="16" t="s">
        <v>230</v>
      </c>
      <c r="F71" s="18">
        <v>130</v>
      </c>
    </row>
    <row r="72" spans="1:6" x14ac:dyDescent="0.25">
      <c r="A72" s="6" t="s">
        <v>448</v>
      </c>
      <c r="B72" s="13"/>
      <c r="C72" s="8"/>
      <c r="D72" s="28"/>
      <c r="E72" s="15"/>
      <c r="F72" s="17"/>
    </row>
    <row r="73" spans="1:6" x14ac:dyDescent="0.25">
      <c r="A73" s="7"/>
      <c r="B73" s="13"/>
      <c r="C73" s="8" t="s">
        <v>230</v>
      </c>
      <c r="D73" s="28"/>
      <c r="E73" s="15"/>
      <c r="F73" s="17"/>
    </row>
    <row r="74" spans="1:6" x14ac:dyDescent="0.25">
      <c r="A74" s="7"/>
      <c r="B74" s="13"/>
      <c r="C74" s="8"/>
      <c r="D74" s="28"/>
      <c r="E74" s="15"/>
      <c r="F74" s="17"/>
    </row>
    <row r="75" spans="1:6" x14ac:dyDescent="0.25">
      <c r="A75" s="7"/>
      <c r="B75" s="13"/>
      <c r="C75" s="8" t="s">
        <v>230</v>
      </c>
      <c r="D75" s="28"/>
      <c r="E75" s="15"/>
      <c r="F75" s="17"/>
    </row>
    <row r="76" spans="1:6" x14ac:dyDescent="0.25">
      <c r="A76" s="9">
        <v>242</v>
      </c>
      <c r="B76" s="19">
        <v>31</v>
      </c>
      <c r="C76" s="12">
        <f>-3-105</f>
        <v>-108</v>
      </c>
      <c r="D76" s="30">
        <f>-3-105</f>
        <v>-108</v>
      </c>
      <c r="E76" s="20" t="s">
        <v>232</v>
      </c>
      <c r="F76" s="21">
        <v>-155</v>
      </c>
    </row>
    <row r="77" spans="1:6" x14ac:dyDescent="0.25">
      <c r="A77" s="10" t="s">
        <v>449</v>
      </c>
      <c r="B77" s="19"/>
      <c r="C77" s="12"/>
      <c r="D77" s="30"/>
      <c r="E77" s="20"/>
      <c r="F77" s="21"/>
    </row>
    <row r="78" spans="1:6" x14ac:dyDescent="0.25">
      <c r="A78" s="11"/>
      <c r="B78" s="19"/>
      <c r="C78" s="12">
        <f>-3-110</f>
        <v>-113</v>
      </c>
      <c r="D78" s="30"/>
      <c r="E78" s="20"/>
      <c r="F78" s="21"/>
    </row>
    <row r="79" spans="1:6" x14ac:dyDescent="0.25">
      <c r="A79" s="11"/>
      <c r="B79" s="19"/>
      <c r="C79" s="12"/>
      <c r="D79" s="30"/>
      <c r="E79" s="20"/>
      <c r="F79" s="21"/>
    </row>
    <row r="80" spans="1:6" x14ac:dyDescent="0.25">
      <c r="A80" s="11"/>
      <c r="B80" s="19"/>
      <c r="C80" s="12">
        <f>-3-110</f>
        <v>-113</v>
      </c>
      <c r="D80" s="30"/>
      <c r="E80" s="20"/>
      <c r="F80" s="21"/>
    </row>
    <row r="81" spans="1:6" ht="37.5" x14ac:dyDescent="0.25">
      <c r="A81" s="22" t="s">
        <v>17</v>
      </c>
    </row>
    <row r="82" spans="1:6" ht="15.75" thickBot="1" x14ac:dyDescent="0.3">
      <c r="A82" s="3" t="s">
        <v>434</v>
      </c>
      <c r="B82" s="4"/>
      <c r="C82" s="4" t="s">
        <v>8</v>
      </c>
      <c r="D82" s="4" t="s">
        <v>9</v>
      </c>
      <c r="E82" s="4" t="s">
        <v>10</v>
      </c>
      <c r="F82" s="4" t="s">
        <v>11</v>
      </c>
    </row>
    <row r="83" spans="1:6" x14ac:dyDescent="0.25">
      <c r="A83" s="5">
        <v>247</v>
      </c>
      <c r="B83" s="25">
        <v>26</v>
      </c>
      <c r="C83" s="8">
        <f>-7.5-108</f>
        <v>-115.5</v>
      </c>
      <c r="D83" s="18">
        <f>-7.5-108</f>
        <v>-115.5</v>
      </c>
      <c r="E83" s="18" t="s">
        <v>202</v>
      </c>
      <c r="F83" s="16">
        <v>-410</v>
      </c>
    </row>
    <row r="84" spans="1:6" x14ac:dyDescent="0.25">
      <c r="A84" s="6" t="s">
        <v>450</v>
      </c>
      <c r="B84" s="24"/>
      <c r="C84" s="8"/>
      <c r="D84" s="17"/>
      <c r="E84" s="17"/>
      <c r="F84" s="15"/>
    </row>
    <row r="85" spans="1:6" x14ac:dyDescent="0.25">
      <c r="A85" s="7"/>
      <c r="B85" s="24"/>
      <c r="C85" s="8">
        <f>-7.5-108</f>
        <v>-115.5</v>
      </c>
      <c r="D85" s="17"/>
      <c r="E85" s="17"/>
      <c r="F85" s="15"/>
    </row>
    <row r="86" spans="1:6" x14ac:dyDescent="0.25">
      <c r="A86" s="7"/>
      <c r="B86" s="24"/>
      <c r="C86" s="8"/>
      <c r="D86" s="17"/>
      <c r="E86" s="17"/>
      <c r="F86" s="15"/>
    </row>
    <row r="87" spans="1:6" x14ac:dyDescent="0.25">
      <c r="A87" s="7"/>
      <c r="B87" s="24"/>
      <c r="C87" s="8">
        <f>-7.5-108</f>
        <v>-115.5</v>
      </c>
      <c r="D87" s="17"/>
      <c r="E87" s="17"/>
      <c r="F87" s="15"/>
    </row>
    <row r="88" spans="1:6" x14ac:dyDescent="0.25">
      <c r="A88" s="9">
        <v>248</v>
      </c>
      <c r="B88" s="26">
        <v>20</v>
      </c>
      <c r="C88" s="12" t="s">
        <v>204</v>
      </c>
      <c r="D88" s="21">
        <f>7.5-112</f>
        <v>-104.5</v>
      </c>
      <c r="E88" s="21" t="s">
        <v>204</v>
      </c>
      <c r="F88" s="20">
        <v>310</v>
      </c>
    </row>
    <row r="89" spans="1:6" x14ac:dyDescent="0.25">
      <c r="A89" s="10" t="s">
        <v>451</v>
      </c>
      <c r="B89" s="26"/>
      <c r="C89" s="12"/>
      <c r="D89" s="21"/>
      <c r="E89" s="21"/>
      <c r="F89" s="20"/>
    </row>
    <row r="90" spans="1:6" x14ac:dyDescent="0.25">
      <c r="A90" s="11"/>
      <c r="B90" s="26"/>
      <c r="C90" s="12" t="s">
        <v>452</v>
      </c>
      <c r="D90" s="21"/>
      <c r="E90" s="21"/>
      <c r="F90" s="20"/>
    </row>
    <row r="91" spans="1:6" x14ac:dyDescent="0.25">
      <c r="A91" s="11"/>
      <c r="B91" s="26"/>
      <c r="C91" s="12"/>
      <c r="D91" s="21"/>
      <c r="E91" s="21"/>
      <c r="F91" s="20"/>
    </row>
    <row r="92" spans="1:6" x14ac:dyDescent="0.25">
      <c r="A92" s="11"/>
      <c r="B92" s="26"/>
      <c r="C92" s="12" t="s">
        <v>441</v>
      </c>
      <c r="D92" s="21"/>
      <c r="E92" s="21"/>
      <c r="F92" s="20"/>
    </row>
    <row r="93" spans="1:6" ht="37.5" x14ac:dyDescent="0.25">
      <c r="A93" s="22" t="s">
        <v>17</v>
      </c>
    </row>
    <row r="94" spans="1:6" ht="15.75" thickBot="1" x14ac:dyDescent="0.3">
      <c r="A94" s="3" t="s">
        <v>434</v>
      </c>
      <c r="B94" s="4"/>
      <c r="C94" s="4" t="s">
        <v>8</v>
      </c>
      <c r="D94" s="4" t="s">
        <v>9</v>
      </c>
      <c r="E94" s="4" t="s">
        <v>10</v>
      </c>
      <c r="F94" s="4" t="s">
        <v>11</v>
      </c>
    </row>
    <row r="95" spans="1:6" x14ac:dyDescent="0.25">
      <c r="A95" s="5">
        <v>243</v>
      </c>
      <c r="B95" s="14">
        <v>10</v>
      </c>
      <c r="C95" s="8" t="s">
        <v>454</v>
      </c>
      <c r="D95" s="16">
        <f>14-110</f>
        <v>-96</v>
      </c>
      <c r="E95" s="18" t="s">
        <v>454</v>
      </c>
      <c r="F95" s="18">
        <v>675</v>
      </c>
    </row>
    <row r="96" spans="1:6" x14ac:dyDescent="0.25">
      <c r="A96" s="6" t="s">
        <v>453</v>
      </c>
      <c r="B96" s="13"/>
      <c r="C96" s="8"/>
      <c r="D96" s="15"/>
      <c r="E96" s="17"/>
      <c r="F96" s="17"/>
    </row>
    <row r="97" spans="1:6" x14ac:dyDescent="0.25">
      <c r="A97" s="7"/>
      <c r="B97" s="13"/>
      <c r="C97" s="8" t="s">
        <v>454</v>
      </c>
      <c r="D97" s="15"/>
      <c r="E97" s="17"/>
      <c r="F97" s="17"/>
    </row>
    <row r="98" spans="1:6" x14ac:dyDescent="0.25">
      <c r="A98" s="7"/>
      <c r="B98" s="13"/>
      <c r="C98" s="8"/>
      <c r="D98" s="15"/>
      <c r="E98" s="17"/>
      <c r="F98" s="17"/>
    </row>
    <row r="99" spans="1:6" x14ac:dyDescent="0.25">
      <c r="A99" s="7"/>
      <c r="B99" s="13"/>
      <c r="C99" s="8" t="s">
        <v>454</v>
      </c>
      <c r="D99" s="15"/>
      <c r="E99" s="17"/>
      <c r="F99" s="17"/>
    </row>
    <row r="100" spans="1:6" x14ac:dyDescent="0.25">
      <c r="A100" s="9">
        <v>244</v>
      </c>
      <c r="B100" s="19">
        <v>23</v>
      </c>
      <c r="C100" s="12">
        <f>-14-110</f>
        <v>-124</v>
      </c>
      <c r="D100" s="20">
        <f>-14-110</f>
        <v>-124</v>
      </c>
      <c r="E100" s="21" t="s">
        <v>456</v>
      </c>
      <c r="F100" s="21">
        <v>-950</v>
      </c>
    </row>
    <row r="101" spans="1:6" x14ac:dyDescent="0.25">
      <c r="A101" s="10" t="s">
        <v>455</v>
      </c>
      <c r="B101" s="19"/>
      <c r="C101" s="12"/>
      <c r="D101" s="20"/>
      <c r="E101" s="21"/>
      <c r="F101" s="21"/>
    </row>
    <row r="102" spans="1:6" x14ac:dyDescent="0.25">
      <c r="A102" s="11"/>
      <c r="B102" s="19"/>
      <c r="C102" s="12">
        <f>-13.5-115</f>
        <v>-128.5</v>
      </c>
      <c r="D102" s="20"/>
      <c r="E102" s="21"/>
      <c r="F102" s="21"/>
    </row>
    <row r="103" spans="1:6" x14ac:dyDescent="0.25">
      <c r="A103" s="11"/>
      <c r="B103" s="19"/>
      <c r="C103" s="12"/>
      <c r="D103" s="20"/>
      <c r="E103" s="21"/>
      <c r="F103" s="21"/>
    </row>
    <row r="104" spans="1:6" x14ac:dyDescent="0.25">
      <c r="A104" s="11"/>
      <c r="B104" s="19"/>
      <c r="C104" s="12">
        <f>-14-108</f>
        <v>-122</v>
      </c>
      <c r="D104" s="20"/>
      <c r="E104" s="21"/>
      <c r="F104" s="21"/>
    </row>
    <row r="105" spans="1:6" ht="37.5" x14ac:dyDescent="0.25">
      <c r="A105" s="22" t="s">
        <v>17</v>
      </c>
    </row>
    <row r="106" spans="1:6" ht="15.75" thickBot="1" x14ac:dyDescent="0.3">
      <c r="A106" s="3" t="s">
        <v>457</v>
      </c>
      <c r="B106" s="4"/>
      <c r="C106" s="4" t="s">
        <v>8</v>
      </c>
      <c r="D106" s="4" t="s">
        <v>9</v>
      </c>
      <c r="E106" s="4" t="s">
        <v>10</v>
      </c>
      <c r="F106" s="4" t="s">
        <v>11</v>
      </c>
    </row>
    <row r="107" spans="1:6" x14ac:dyDescent="0.25">
      <c r="A107" s="5">
        <v>257</v>
      </c>
      <c r="B107" s="25">
        <v>24</v>
      </c>
      <c r="C107" s="8" t="s">
        <v>459</v>
      </c>
      <c r="D107" s="16">
        <f>3-105</f>
        <v>-102</v>
      </c>
      <c r="E107" s="18" t="s">
        <v>72</v>
      </c>
      <c r="F107" s="16">
        <v>140</v>
      </c>
    </row>
    <row r="108" spans="1:6" x14ac:dyDescent="0.25">
      <c r="A108" s="6" t="s">
        <v>458</v>
      </c>
      <c r="B108" s="24"/>
      <c r="C108" s="8"/>
      <c r="D108" s="15"/>
      <c r="E108" s="17"/>
      <c r="F108" s="15"/>
    </row>
    <row r="109" spans="1:6" x14ac:dyDescent="0.25">
      <c r="A109" s="7"/>
      <c r="B109" s="24"/>
      <c r="C109" s="8" t="s">
        <v>459</v>
      </c>
      <c r="D109" s="15"/>
      <c r="E109" s="17"/>
      <c r="F109" s="15"/>
    </row>
    <row r="110" spans="1:6" x14ac:dyDescent="0.25">
      <c r="A110" s="7"/>
      <c r="B110" s="24"/>
      <c r="C110" s="8"/>
      <c r="D110" s="15"/>
      <c r="E110" s="17"/>
      <c r="F110" s="15"/>
    </row>
    <row r="111" spans="1:6" x14ac:dyDescent="0.25">
      <c r="A111" s="7"/>
      <c r="B111" s="24"/>
      <c r="C111" s="8" t="s">
        <v>459</v>
      </c>
      <c r="D111" s="15"/>
      <c r="E111" s="17"/>
      <c r="F111" s="15"/>
    </row>
    <row r="112" spans="1:6" x14ac:dyDescent="0.25">
      <c r="A112" s="9">
        <v>258</v>
      </c>
      <c r="B112" s="26">
        <v>10</v>
      </c>
      <c r="C112" s="12">
        <f>-3-115</f>
        <v>-118</v>
      </c>
      <c r="D112" s="20">
        <f>-3-115</f>
        <v>-118</v>
      </c>
      <c r="E112" s="21" t="s">
        <v>459</v>
      </c>
      <c r="F112" s="20">
        <v>-162</v>
      </c>
    </row>
    <row r="113" spans="1:6" x14ac:dyDescent="0.25">
      <c r="A113" s="10" t="s">
        <v>460</v>
      </c>
      <c r="B113" s="26"/>
      <c r="C113" s="12"/>
      <c r="D113" s="20"/>
      <c r="E113" s="21"/>
      <c r="F113" s="20"/>
    </row>
    <row r="114" spans="1:6" x14ac:dyDescent="0.25">
      <c r="A114" s="11"/>
      <c r="B114" s="26"/>
      <c r="C114" s="12">
        <f>-3-120</f>
        <v>-123</v>
      </c>
      <c r="D114" s="20"/>
      <c r="E114" s="21"/>
      <c r="F114" s="20"/>
    </row>
    <row r="115" spans="1:6" x14ac:dyDescent="0.25">
      <c r="A115" s="11"/>
      <c r="B115" s="26"/>
      <c r="C115" s="12"/>
      <c r="D115" s="20"/>
      <c r="E115" s="21"/>
      <c r="F115" s="20"/>
    </row>
    <row r="116" spans="1:6" x14ac:dyDescent="0.25">
      <c r="A116" s="11"/>
      <c r="B116" s="26"/>
      <c r="C116" s="12" t="s">
        <v>211</v>
      </c>
      <c r="D116" s="20"/>
      <c r="E116" s="21"/>
      <c r="F116" s="20"/>
    </row>
    <row r="117" spans="1:6" ht="37.5" x14ac:dyDescent="0.25">
      <c r="A117" s="22" t="s">
        <v>17</v>
      </c>
    </row>
    <row r="118" spans="1:6" ht="15.75" thickBot="1" x14ac:dyDescent="0.3">
      <c r="A118" s="3" t="s">
        <v>457</v>
      </c>
      <c r="B118" s="4"/>
      <c r="C118" s="4" t="s">
        <v>8</v>
      </c>
      <c r="D118" s="4" t="s">
        <v>9</v>
      </c>
      <c r="E118" s="4" t="s">
        <v>10</v>
      </c>
      <c r="F118" s="4" t="s">
        <v>11</v>
      </c>
    </row>
    <row r="119" spans="1:6" x14ac:dyDescent="0.25">
      <c r="A119" s="5">
        <v>255</v>
      </c>
      <c r="B119" s="25">
        <v>27</v>
      </c>
      <c r="C119" s="8" t="s">
        <v>462</v>
      </c>
      <c r="D119" s="16" t="s">
        <v>462</v>
      </c>
      <c r="E119" s="16" t="s">
        <v>463</v>
      </c>
      <c r="F119" s="16">
        <v>-135</v>
      </c>
    </row>
    <row r="120" spans="1:6" x14ac:dyDescent="0.25">
      <c r="A120" s="6" t="s">
        <v>461</v>
      </c>
      <c r="B120" s="24"/>
      <c r="C120" s="8"/>
      <c r="D120" s="15"/>
      <c r="E120" s="15"/>
      <c r="F120" s="15"/>
    </row>
    <row r="121" spans="1:6" x14ac:dyDescent="0.25">
      <c r="A121" s="7"/>
      <c r="B121" s="24"/>
      <c r="C121" s="8">
        <f>-2.5-108</f>
        <v>-110.5</v>
      </c>
      <c r="D121" s="15"/>
      <c r="E121" s="15"/>
      <c r="F121" s="15"/>
    </row>
    <row r="122" spans="1:6" x14ac:dyDescent="0.25">
      <c r="A122" s="7"/>
      <c r="B122" s="24"/>
      <c r="C122" s="8"/>
      <c r="D122" s="15"/>
      <c r="E122" s="15"/>
      <c r="F122" s="15"/>
    </row>
    <row r="123" spans="1:6" x14ac:dyDescent="0.25">
      <c r="A123" s="7"/>
      <c r="B123" s="24"/>
      <c r="C123" s="8">
        <f>-2.5-108</f>
        <v>-110.5</v>
      </c>
      <c r="D123" s="15"/>
      <c r="E123" s="15"/>
      <c r="F123" s="15"/>
    </row>
    <row r="124" spans="1:6" x14ac:dyDescent="0.25">
      <c r="A124" s="9">
        <v>256</v>
      </c>
      <c r="B124" s="26">
        <v>24</v>
      </c>
      <c r="C124" s="12" t="s">
        <v>463</v>
      </c>
      <c r="D124" s="20">
        <f>2.5-120</f>
        <v>-117.5</v>
      </c>
      <c r="E124" s="20" t="s">
        <v>428</v>
      </c>
      <c r="F124" s="20">
        <v>114</v>
      </c>
    </row>
    <row r="125" spans="1:6" x14ac:dyDescent="0.25">
      <c r="A125" s="10" t="s">
        <v>464</v>
      </c>
      <c r="B125" s="26"/>
      <c r="C125" s="12"/>
      <c r="D125" s="20"/>
      <c r="E125" s="20"/>
      <c r="F125" s="20"/>
    </row>
    <row r="126" spans="1:6" x14ac:dyDescent="0.25">
      <c r="A126" s="11"/>
      <c r="B126" s="26"/>
      <c r="C126" s="12" t="s">
        <v>463</v>
      </c>
      <c r="D126" s="20"/>
      <c r="E126" s="20"/>
      <c r="F126" s="20"/>
    </row>
    <row r="127" spans="1:6" x14ac:dyDescent="0.25">
      <c r="A127" s="11"/>
      <c r="B127" s="26"/>
      <c r="C127" s="12"/>
      <c r="D127" s="20"/>
      <c r="E127" s="20"/>
      <c r="F127" s="20"/>
    </row>
    <row r="128" spans="1:6" x14ac:dyDescent="0.25">
      <c r="A128" s="11"/>
      <c r="B128" s="26"/>
      <c r="C128" s="12" t="s">
        <v>463</v>
      </c>
      <c r="D128" s="20"/>
      <c r="E128" s="20"/>
      <c r="F128" s="20"/>
    </row>
    <row r="129" spans="1:6" ht="37.5" x14ac:dyDescent="0.25">
      <c r="A129" s="22" t="s">
        <v>17</v>
      </c>
    </row>
    <row r="130" spans="1:6" ht="15.75" thickBot="1" x14ac:dyDescent="0.3">
      <c r="A130" s="3" t="s">
        <v>465</v>
      </c>
      <c r="B130" s="4"/>
      <c r="C130" s="4" t="s">
        <v>8</v>
      </c>
      <c r="D130" s="4" t="s">
        <v>9</v>
      </c>
      <c r="E130" s="4" t="s">
        <v>10</v>
      </c>
      <c r="F130" s="4" t="s">
        <v>11</v>
      </c>
    </row>
    <row r="131" spans="1:6" x14ac:dyDescent="0.25">
      <c r="A131" s="5">
        <v>259</v>
      </c>
      <c r="B131" s="25">
        <v>24</v>
      </c>
      <c r="C131" s="8" t="s">
        <v>467</v>
      </c>
      <c r="D131" s="16">
        <f>1.5-110</f>
        <v>-108.5</v>
      </c>
      <c r="E131" s="18" t="s">
        <v>225</v>
      </c>
      <c r="F131" s="16">
        <v>102</v>
      </c>
    </row>
    <row r="132" spans="1:6" x14ac:dyDescent="0.25">
      <c r="A132" s="6" t="s">
        <v>466</v>
      </c>
      <c r="B132" s="24"/>
      <c r="C132" s="8"/>
      <c r="D132" s="15"/>
      <c r="E132" s="17"/>
      <c r="F132" s="15"/>
    </row>
    <row r="133" spans="1:6" x14ac:dyDescent="0.25">
      <c r="A133" s="7"/>
      <c r="B133" s="24"/>
      <c r="C133" s="8" t="s">
        <v>468</v>
      </c>
      <c r="D133" s="15"/>
      <c r="E133" s="17"/>
      <c r="F133" s="15"/>
    </row>
    <row r="134" spans="1:6" x14ac:dyDescent="0.25">
      <c r="A134" s="7"/>
      <c r="B134" s="24"/>
      <c r="C134" s="8"/>
      <c r="D134" s="15"/>
      <c r="E134" s="17"/>
      <c r="F134" s="15"/>
    </row>
    <row r="135" spans="1:6" x14ac:dyDescent="0.25">
      <c r="A135" s="7"/>
      <c r="B135" s="24"/>
      <c r="C135" s="8" t="s">
        <v>420</v>
      </c>
      <c r="D135" s="15"/>
      <c r="E135" s="17"/>
      <c r="F135" s="15"/>
    </row>
    <row r="136" spans="1:6" x14ac:dyDescent="0.25">
      <c r="A136" s="9">
        <v>260</v>
      </c>
      <c r="B136" s="26">
        <v>10</v>
      </c>
      <c r="C136" s="12">
        <f>-1.5-110</f>
        <v>-111.5</v>
      </c>
      <c r="D136" s="20">
        <f>-1.5-110</f>
        <v>-111.5</v>
      </c>
      <c r="E136" s="21" t="s">
        <v>467</v>
      </c>
      <c r="F136" s="20">
        <v>-122</v>
      </c>
    </row>
    <row r="137" spans="1:6" x14ac:dyDescent="0.25">
      <c r="A137" s="10" t="s">
        <v>469</v>
      </c>
      <c r="B137" s="26"/>
      <c r="C137" s="12"/>
      <c r="D137" s="20"/>
      <c r="E137" s="21"/>
      <c r="F137" s="20"/>
    </row>
    <row r="138" spans="1:6" x14ac:dyDescent="0.25">
      <c r="A138" s="11"/>
      <c r="B138" s="26"/>
      <c r="C138" s="12">
        <f>-1.5-110</f>
        <v>-111.5</v>
      </c>
      <c r="D138" s="20"/>
      <c r="E138" s="21"/>
      <c r="F138" s="20"/>
    </row>
    <row r="139" spans="1:6" x14ac:dyDescent="0.25">
      <c r="A139" s="11"/>
      <c r="B139" s="26"/>
      <c r="C139" s="12"/>
      <c r="D139" s="20"/>
      <c r="E139" s="21"/>
      <c r="F139" s="20"/>
    </row>
    <row r="140" spans="1:6" x14ac:dyDescent="0.25">
      <c r="A140" s="11"/>
      <c r="B140" s="26"/>
      <c r="C140" s="12">
        <f>-1.5-110</f>
        <v>-111.5</v>
      </c>
      <c r="D140" s="20"/>
      <c r="E140" s="21"/>
      <c r="F140" s="20"/>
    </row>
    <row r="141" spans="1:6" ht="37.5" x14ac:dyDescent="0.25">
      <c r="A141" s="22" t="s">
        <v>17</v>
      </c>
    </row>
    <row r="142" spans="1:6" ht="15.75" thickBot="1" x14ac:dyDescent="0.3">
      <c r="A142" s="3" t="s">
        <v>465</v>
      </c>
      <c r="B142" s="4"/>
      <c r="C142" s="4" t="s">
        <v>8</v>
      </c>
      <c r="D142" s="4" t="s">
        <v>9</v>
      </c>
      <c r="E142" s="4" t="s">
        <v>10</v>
      </c>
      <c r="F142" s="4" t="s">
        <v>11</v>
      </c>
    </row>
    <row r="143" spans="1:6" x14ac:dyDescent="0.25">
      <c r="A143" s="5">
        <v>261</v>
      </c>
      <c r="B143" s="14">
        <v>21</v>
      </c>
      <c r="C143" s="8">
        <f>-3-105</f>
        <v>-108</v>
      </c>
      <c r="D143" s="18">
        <f>-3-105</f>
        <v>-108</v>
      </c>
      <c r="E143" s="18" t="s">
        <v>371</v>
      </c>
      <c r="F143" s="18">
        <v>-162</v>
      </c>
    </row>
    <row r="144" spans="1:6" x14ac:dyDescent="0.25">
      <c r="A144" s="6" t="s">
        <v>470</v>
      </c>
      <c r="B144" s="13"/>
      <c r="C144" s="8"/>
      <c r="D144" s="17"/>
      <c r="E144" s="17"/>
      <c r="F144" s="17"/>
    </row>
    <row r="145" spans="1:6" x14ac:dyDescent="0.25">
      <c r="A145" s="7"/>
      <c r="B145" s="13"/>
      <c r="C145" s="8">
        <f>-3-112</f>
        <v>-115</v>
      </c>
      <c r="D145" s="17"/>
      <c r="E145" s="17"/>
      <c r="F145" s="17"/>
    </row>
    <row r="146" spans="1:6" x14ac:dyDescent="0.25">
      <c r="A146" s="7"/>
      <c r="B146" s="13"/>
      <c r="C146" s="8"/>
      <c r="D146" s="17"/>
      <c r="E146" s="17"/>
      <c r="F146" s="17"/>
    </row>
    <row r="147" spans="1:6" x14ac:dyDescent="0.25">
      <c r="A147" s="7"/>
      <c r="B147" s="13"/>
      <c r="C147" s="8">
        <f>-3-112</f>
        <v>-115</v>
      </c>
      <c r="D147" s="17"/>
      <c r="E147" s="17"/>
      <c r="F147" s="17"/>
    </row>
    <row r="148" spans="1:6" x14ac:dyDescent="0.25">
      <c r="A148" s="9">
        <v>262</v>
      </c>
      <c r="B148" s="19">
        <v>24</v>
      </c>
      <c r="C148" s="12" t="s">
        <v>472</v>
      </c>
      <c r="D148" s="21">
        <f>3-115</f>
        <v>-112</v>
      </c>
      <c r="E148" s="21" t="s">
        <v>472</v>
      </c>
      <c r="F148" s="21">
        <v>136</v>
      </c>
    </row>
    <row r="149" spans="1:6" x14ac:dyDescent="0.25">
      <c r="A149" s="10" t="s">
        <v>471</v>
      </c>
      <c r="B149" s="19"/>
      <c r="C149" s="12"/>
      <c r="D149" s="21"/>
      <c r="E149" s="21"/>
      <c r="F149" s="21"/>
    </row>
    <row r="150" spans="1:6" x14ac:dyDescent="0.25">
      <c r="A150" s="11"/>
      <c r="B150" s="19"/>
      <c r="C150" s="12" t="s">
        <v>472</v>
      </c>
      <c r="D150" s="21"/>
      <c r="E150" s="21"/>
      <c r="F150" s="21"/>
    </row>
    <row r="151" spans="1:6" x14ac:dyDescent="0.25">
      <c r="A151" s="11"/>
      <c r="B151" s="19"/>
      <c r="C151" s="12"/>
      <c r="D151" s="21"/>
      <c r="E151" s="21"/>
      <c r="F151" s="21"/>
    </row>
    <row r="152" spans="1:6" x14ac:dyDescent="0.25">
      <c r="A152" s="11"/>
      <c r="B152" s="19"/>
      <c r="C152" s="12" t="s">
        <v>25</v>
      </c>
      <c r="D152" s="21"/>
      <c r="E152" s="21"/>
      <c r="F152" s="21"/>
    </row>
    <row r="153" spans="1:6" ht="37.5" x14ac:dyDescent="0.25">
      <c r="A153" s="22" t="s">
        <v>17</v>
      </c>
    </row>
    <row r="154" spans="1:6" ht="15.75" thickBot="1" x14ac:dyDescent="0.3">
      <c r="A154" s="3" t="s">
        <v>473</v>
      </c>
      <c r="B154" s="4"/>
      <c r="C154" s="4" t="s">
        <v>8</v>
      </c>
      <c r="D154" s="4" t="s">
        <v>9</v>
      </c>
      <c r="E154" s="4" t="s">
        <v>10</v>
      </c>
      <c r="F154" s="4" t="s">
        <v>11</v>
      </c>
    </row>
    <row r="155" spans="1:6" x14ac:dyDescent="0.25">
      <c r="A155" s="5">
        <v>263</v>
      </c>
      <c r="B155" s="14">
        <v>7</v>
      </c>
      <c r="C155" s="8" t="s">
        <v>475</v>
      </c>
      <c r="D155" s="18">
        <f>7.5-120</f>
        <v>-112.5</v>
      </c>
      <c r="E155" s="18" t="s">
        <v>278</v>
      </c>
      <c r="F155" s="18">
        <v>270</v>
      </c>
    </row>
    <row r="156" spans="1:6" x14ac:dyDescent="0.25">
      <c r="A156" s="6" t="s">
        <v>474</v>
      </c>
      <c r="B156" s="13"/>
      <c r="C156" s="8"/>
      <c r="D156" s="17"/>
      <c r="E156" s="17"/>
      <c r="F156" s="17"/>
    </row>
    <row r="157" spans="1:6" x14ac:dyDescent="0.25">
      <c r="A157" s="7"/>
      <c r="B157" s="13"/>
      <c r="C157" s="8" t="s">
        <v>475</v>
      </c>
      <c r="D157" s="17"/>
      <c r="E157" s="17"/>
      <c r="F157" s="17"/>
    </row>
    <row r="158" spans="1:6" x14ac:dyDescent="0.25">
      <c r="A158" s="7"/>
      <c r="B158" s="13"/>
      <c r="C158" s="8"/>
      <c r="D158" s="17"/>
      <c r="E158" s="17"/>
      <c r="F158" s="17"/>
    </row>
    <row r="159" spans="1:6" x14ac:dyDescent="0.25">
      <c r="A159" s="7"/>
      <c r="B159" s="13"/>
      <c r="C159" s="8" t="s">
        <v>475</v>
      </c>
      <c r="D159" s="17"/>
      <c r="E159" s="17"/>
      <c r="F159" s="17"/>
    </row>
    <row r="160" spans="1:6" x14ac:dyDescent="0.25">
      <c r="A160" s="9">
        <v>264</v>
      </c>
      <c r="B160" s="19">
        <v>34</v>
      </c>
      <c r="C160" s="12">
        <f>-7-110</f>
        <v>-117</v>
      </c>
      <c r="D160" s="21">
        <f>-7.5-110</f>
        <v>-117.5</v>
      </c>
      <c r="E160" s="21" t="s">
        <v>477</v>
      </c>
      <c r="F160" s="21">
        <v>-355</v>
      </c>
    </row>
    <row r="161" spans="1:6" x14ac:dyDescent="0.25">
      <c r="A161" s="10" t="s">
        <v>476</v>
      </c>
      <c r="B161" s="19"/>
      <c r="C161" s="12"/>
      <c r="D161" s="21"/>
      <c r="E161" s="21"/>
      <c r="F161" s="21"/>
    </row>
    <row r="162" spans="1:6" x14ac:dyDescent="0.25">
      <c r="A162" s="11"/>
      <c r="B162" s="19"/>
      <c r="C162" s="12">
        <f>-7-115</f>
        <v>-122</v>
      </c>
      <c r="D162" s="21"/>
      <c r="E162" s="21"/>
      <c r="F162" s="21"/>
    </row>
    <row r="163" spans="1:6" x14ac:dyDescent="0.25">
      <c r="A163" s="11"/>
      <c r="B163" s="19"/>
      <c r="C163" s="12"/>
      <c r="D163" s="21"/>
      <c r="E163" s="21"/>
      <c r="F163" s="21"/>
    </row>
    <row r="164" spans="1:6" x14ac:dyDescent="0.25">
      <c r="A164" s="11"/>
      <c r="B164" s="19"/>
      <c r="C164" s="12">
        <f>-7.5-105</f>
        <v>-112.5</v>
      </c>
      <c r="D164" s="21"/>
      <c r="E164" s="21"/>
      <c r="F164" s="21"/>
    </row>
    <row r="165" spans="1:6" ht="38.25" thickBot="1" x14ac:dyDescent="0.3">
      <c r="A165" s="22" t="s">
        <v>17</v>
      </c>
    </row>
    <row r="166" spans="1:6" ht="56.25" x14ac:dyDescent="0.25">
      <c r="A166" s="27" t="s">
        <v>174</v>
      </c>
    </row>
    <row r="167" spans="1:6" ht="15.75" thickBot="1" x14ac:dyDescent="0.3">
      <c r="A167" s="3" t="s">
        <v>478</v>
      </c>
      <c r="B167" s="4"/>
      <c r="C167" s="4" t="s">
        <v>8</v>
      </c>
      <c r="D167" s="4" t="s">
        <v>9</v>
      </c>
      <c r="E167" s="4" t="s">
        <v>10</v>
      </c>
      <c r="F167" s="4" t="s">
        <v>11</v>
      </c>
    </row>
    <row r="168" spans="1:6" x14ac:dyDescent="0.25">
      <c r="A168" s="5">
        <v>265</v>
      </c>
      <c r="B168" s="14">
        <v>9</v>
      </c>
      <c r="C168" s="8" t="s">
        <v>177</v>
      </c>
      <c r="D168" s="18">
        <f>7.5-115</f>
        <v>-107.5</v>
      </c>
      <c r="E168" s="18" t="s">
        <v>177</v>
      </c>
      <c r="F168" s="18">
        <v>310</v>
      </c>
    </row>
    <row r="169" spans="1:6" x14ac:dyDescent="0.25">
      <c r="A169" s="6" t="s">
        <v>479</v>
      </c>
      <c r="B169" s="13"/>
      <c r="C169" s="8"/>
      <c r="D169" s="17"/>
      <c r="E169" s="17"/>
      <c r="F169" s="17"/>
    </row>
    <row r="170" spans="1:6" x14ac:dyDescent="0.25">
      <c r="A170" s="7"/>
      <c r="B170" s="13"/>
      <c r="C170" s="8" t="s">
        <v>480</v>
      </c>
      <c r="D170" s="17"/>
      <c r="E170" s="17"/>
      <c r="F170" s="17"/>
    </row>
    <row r="171" spans="1:6" x14ac:dyDescent="0.25">
      <c r="A171" s="7"/>
      <c r="B171" s="13"/>
      <c r="C171" s="8"/>
      <c r="D171" s="17"/>
      <c r="E171" s="17"/>
      <c r="F171" s="17"/>
    </row>
    <row r="172" spans="1:6" x14ac:dyDescent="0.25">
      <c r="A172" s="7"/>
      <c r="B172" s="13"/>
      <c r="C172" s="8" t="s">
        <v>177</v>
      </c>
      <c r="D172" s="17"/>
      <c r="E172" s="17"/>
      <c r="F172" s="17"/>
    </row>
    <row r="173" spans="1:6" x14ac:dyDescent="0.25">
      <c r="A173" s="9">
        <v>266</v>
      </c>
      <c r="B173" s="19">
        <v>20</v>
      </c>
      <c r="C173" s="12">
        <f>-7.5-105</f>
        <v>-112.5</v>
      </c>
      <c r="D173" s="21">
        <f>-7.5-105</f>
        <v>-112.5</v>
      </c>
      <c r="E173" s="21" t="s">
        <v>179</v>
      </c>
      <c r="F173" s="21">
        <v>-375</v>
      </c>
    </row>
    <row r="174" spans="1:6" x14ac:dyDescent="0.25">
      <c r="A174" s="10" t="s">
        <v>481</v>
      </c>
      <c r="B174" s="19"/>
      <c r="C174" s="12"/>
      <c r="D174" s="21"/>
      <c r="E174" s="21"/>
      <c r="F174" s="21"/>
    </row>
    <row r="175" spans="1:6" x14ac:dyDescent="0.25">
      <c r="A175" s="11"/>
      <c r="B175" s="19"/>
      <c r="C175" s="12">
        <f>-7.5-105</f>
        <v>-112.5</v>
      </c>
      <c r="D175" s="21"/>
      <c r="E175" s="21"/>
      <c r="F175" s="21"/>
    </row>
    <row r="176" spans="1:6" x14ac:dyDescent="0.25">
      <c r="A176" s="11"/>
      <c r="B176" s="19"/>
      <c r="C176" s="12"/>
      <c r="D176" s="21"/>
      <c r="E176" s="21"/>
      <c r="F176" s="21"/>
    </row>
    <row r="177" spans="1:6" x14ac:dyDescent="0.25">
      <c r="A177" s="11"/>
      <c r="B177" s="19"/>
      <c r="C177" s="12">
        <f>-7.5-105</f>
        <v>-112.5</v>
      </c>
      <c r="D177" s="21"/>
      <c r="E177" s="21"/>
      <c r="F177" s="21"/>
    </row>
  </sheetData>
  <mergeCells count="112">
    <mergeCell ref="B168:B172"/>
    <mergeCell ref="D168:D172"/>
    <mergeCell ref="E168:E172"/>
    <mergeCell ref="F168:F172"/>
    <mergeCell ref="B173:B177"/>
    <mergeCell ref="D173:D177"/>
    <mergeCell ref="E173:E177"/>
    <mergeCell ref="F173:F177"/>
    <mergeCell ref="B155:B159"/>
    <mergeCell ref="D155:D159"/>
    <mergeCell ref="E155:E159"/>
    <mergeCell ref="F155:F159"/>
    <mergeCell ref="B160:B164"/>
    <mergeCell ref="D160:D164"/>
    <mergeCell ref="E160:E164"/>
    <mergeCell ref="F160:F164"/>
    <mergeCell ref="B143:B147"/>
    <mergeCell ref="D143:D147"/>
    <mergeCell ref="E143:E147"/>
    <mergeCell ref="F143:F147"/>
    <mergeCell ref="B148:B152"/>
    <mergeCell ref="D148:D152"/>
    <mergeCell ref="E148:E152"/>
    <mergeCell ref="F148:F152"/>
    <mergeCell ref="B131:B135"/>
    <mergeCell ref="D131:D135"/>
    <mergeCell ref="E131:E135"/>
    <mergeCell ref="F131:F135"/>
    <mergeCell ref="B136:B140"/>
    <mergeCell ref="D136:D140"/>
    <mergeCell ref="E136:E140"/>
    <mergeCell ref="F136:F140"/>
    <mergeCell ref="B119:B123"/>
    <mergeCell ref="D119:D123"/>
    <mergeCell ref="E119:E123"/>
    <mergeCell ref="F119:F123"/>
    <mergeCell ref="B124:B128"/>
    <mergeCell ref="D124:D128"/>
    <mergeCell ref="E124:E128"/>
    <mergeCell ref="F124:F128"/>
    <mergeCell ref="B107:B111"/>
    <mergeCell ref="D107:D111"/>
    <mergeCell ref="E107:E111"/>
    <mergeCell ref="F107:F111"/>
    <mergeCell ref="B112:B116"/>
    <mergeCell ref="D112:D116"/>
    <mergeCell ref="E112:E116"/>
    <mergeCell ref="F112:F116"/>
    <mergeCell ref="B95:B99"/>
    <mergeCell ref="D95:D99"/>
    <mergeCell ref="E95:E99"/>
    <mergeCell ref="F95:F99"/>
    <mergeCell ref="B100:B104"/>
    <mergeCell ref="D100:D104"/>
    <mergeCell ref="E100:E104"/>
    <mergeCell ref="F100:F104"/>
    <mergeCell ref="B83:B87"/>
    <mergeCell ref="D83:D87"/>
    <mergeCell ref="E83:E87"/>
    <mergeCell ref="F83:F87"/>
    <mergeCell ref="B88:B92"/>
    <mergeCell ref="D88:D92"/>
    <mergeCell ref="E88:E92"/>
    <mergeCell ref="F88:F92"/>
    <mergeCell ref="B71:B75"/>
    <mergeCell ref="D71:D75"/>
    <mergeCell ref="E71:E75"/>
    <mergeCell ref="F71:F75"/>
    <mergeCell ref="B76:B80"/>
    <mergeCell ref="D76:D80"/>
    <mergeCell ref="E76:E80"/>
    <mergeCell ref="F76:F80"/>
    <mergeCell ref="B59:B63"/>
    <mergeCell ref="D59:D63"/>
    <mergeCell ref="E59:E63"/>
    <mergeCell ref="F59:F63"/>
    <mergeCell ref="B64:B68"/>
    <mergeCell ref="D64:D68"/>
    <mergeCell ref="E64:E68"/>
    <mergeCell ref="F64:F68"/>
    <mergeCell ref="B47:B51"/>
    <mergeCell ref="D47:D51"/>
    <mergeCell ref="E47:E51"/>
    <mergeCell ref="F47:F51"/>
    <mergeCell ref="B52:B56"/>
    <mergeCell ref="D52:D56"/>
    <mergeCell ref="E52:E56"/>
    <mergeCell ref="F52:F56"/>
    <mergeCell ref="B35:B39"/>
    <mergeCell ref="D35:D39"/>
    <mergeCell ref="E35:E39"/>
    <mergeCell ref="F35:F39"/>
    <mergeCell ref="B40:B44"/>
    <mergeCell ref="D40:D44"/>
    <mergeCell ref="E40:E44"/>
    <mergeCell ref="F40:F44"/>
    <mergeCell ref="B23:B27"/>
    <mergeCell ref="D23:D27"/>
    <mergeCell ref="E23:E27"/>
    <mergeCell ref="F23:F27"/>
    <mergeCell ref="B28:B32"/>
    <mergeCell ref="D28:D32"/>
    <mergeCell ref="E28:E32"/>
    <mergeCell ref="F28:F32"/>
    <mergeCell ref="B9:B13"/>
    <mergeCell ref="D9:D13"/>
    <mergeCell ref="E9:E13"/>
    <mergeCell ref="F9:F13"/>
    <mergeCell ref="B14:B18"/>
    <mergeCell ref="D14:D18"/>
    <mergeCell ref="E14:E18"/>
    <mergeCell ref="F14:F18"/>
  </mergeCells>
  <hyperlinks>
    <hyperlink ref="A2" r:id="rId1" display="https://www.scoresandodds.com/nfl/odds" xr:uid="{90941345-2E3C-46A6-81A9-ABA7C2EA5B7F}"/>
    <hyperlink ref="A3" r:id="rId2" display="https://www.scoresandodds.com/nfl/consensus-picks" xr:uid="{25851B0E-3191-42A5-A4E3-7C0935E41DF2}"/>
    <hyperlink ref="A4" r:id="rId3" display="https://www.scoresandodds.com/nfl/more-lines" xr:uid="{5E492C36-B729-4514-A78B-AB57C137D696}"/>
    <hyperlink ref="A5" r:id="rId4" display="https://www.scoresandodds.com/nfl/props" xr:uid="{3BD6B38A-A2AD-4295-8DE4-618D8035745C}"/>
    <hyperlink ref="A6" r:id="rId5" display="https://www.scoresandodds.com/nfl/parlays" xr:uid="{572AFA80-01C5-4F89-83F1-B6AD0995FA00}"/>
    <hyperlink ref="A7" r:id="rId6" display="https://www.scoresandodds.com/nfl/picks" xr:uid="{1B816C59-8C4B-4892-9099-27759E0C02BD}"/>
    <hyperlink ref="A10" r:id="rId7" display="https://www.scoresandodds.com/nfl/teams/bills" xr:uid="{98FB8DC3-84CC-4F53-95FB-9036E131C076}"/>
    <hyperlink ref="A15" r:id="rId8" display="https://www.scoresandodds.com/nfl/teams/texans" xr:uid="{3CB74D41-CC7F-4227-81E6-B91F7C6AE0A2}"/>
    <hyperlink ref="A24" r:id="rId9" display="https://www.scoresandodds.com/nfl/teams/seahawks" xr:uid="{2E020416-5BC1-4EAE-8AB0-B5FE6E61567A}"/>
    <hyperlink ref="A29" r:id="rId10" display="https://www.scoresandodds.com/nfl/teams/titans" xr:uid="{30CF909C-B9E4-4354-A455-E402A99A0734}"/>
    <hyperlink ref="A36" r:id="rId11" display="https://www.scoresandodds.com/nfl/teams/giants" xr:uid="{DFF3395E-E3FF-4974-AAD9-FAC116FE4B1E}"/>
    <hyperlink ref="A41" r:id="rId12" display="https://www.scoresandodds.com/nfl/teams/lions" xr:uid="{94B1F992-786F-4B13-8F06-F4D7D26BF224}"/>
    <hyperlink ref="A48" r:id="rId13" display="https://www.scoresandodds.com/nfl/teams/vikings" xr:uid="{CED10CFF-D722-4F28-9DDE-2FD3398B1747}"/>
    <hyperlink ref="A53" r:id="rId14" display="https://www.scoresandodds.com/nfl/teams/packers" xr:uid="{CE21B9EC-1457-4C10-9878-E4064BE2BA22}"/>
    <hyperlink ref="A60" r:id="rId15" display="https://www.scoresandodds.com/nfl/teams/colts" xr:uid="{A6E34AAF-802F-4DA6-87E4-58803304D148}"/>
    <hyperlink ref="A65" r:id="rId16" display="https://www.scoresandodds.com/nfl/teams/chiefs" xr:uid="{D19161F5-218F-4633-9DF2-CC27B1D9D9F6}"/>
    <hyperlink ref="A72" r:id="rId17" display="https://www.scoresandodds.com/nfl/teams/steelers" xr:uid="{524E2AA3-1B94-4C64-A280-48D19BA99503}"/>
    <hyperlink ref="A77" r:id="rId18" display="https://www.scoresandodds.com/nfl/teams/bears" xr:uid="{83ADB50D-3593-42BA-8866-BED6C6CCDF6A}"/>
    <hyperlink ref="A84" r:id="rId19" display="https://www.scoresandodds.com/nfl/teams/patriots" xr:uid="{1DAAF2AA-8AC2-4F33-9283-7FEADA561283}"/>
    <hyperlink ref="A89" r:id="rId20" display="https://www.scoresandodds.com/nfl/teams/bengals" xr:uid="{7F7A2242-7928-41C4-8C94-37C5A607F704}"/>
    <hyperlink ref="A96" r:id="rId21" display="https://www.scoresandodds.com/nfl/teams/jets" xr:uid="{83E65E21-5B86-48E9-A0E1-9328A2434EE6}"/>
    <hyperlink ref="A101" r:id="rId22" display="https://www.scoresandodds.com/nfl/teams/ravens" xr:uid="{BCEE2F66-2F7E-4CE5-AB6E-5AB79714D688}"/>
    <hyperlink ref="A108" r:id="rId23" display="https://www.scoresandodds.com/nfl/teams/browns" xr:uid="{F0A0EE4C-7CCD-4EF3-8FFB-CA7B808D8534}"/>
    <hyperlink ref="A113" r:id="rId24" display="https://www.scoresandodds.com/nfl/teams/raiders" xr:uid="{AF66C306-B0E4-4439-9CCC-791BAF09EBED}"/>
    <hyperlink ref="A120" r:id="rId25" display="https://www.scoresandodds.com/nfl/teams/jaguars" xr:uid="{FA0CAC33-AA42-433B-93BA-53135B50B39A}"/>
    <hyperlink ref="A125" r:id="rId26" display="https://www.scoresandodds.com/nfl/teams/cardinals" xr:uid="{CD052D8F-7FBC-4559-BC85-8B0A768EF2FE}"/>
    <hyperlink ref="A132" r:id="rId27" display="https://www.scoresandodds.com/nfl/teams/falcons" xr:uid="{326BB5E9-A73D-40C3-9D4B-3178E2DEDB09}"/>
    <hyperlink ref="A137" r:id="rId28" display="https://www.scoresandodds.com/nfl/teams/saints" xr:uid="{4E13910C-FD33-4780-914A-09E359EF9EC8}"/>
    <hyperlink ref="A144" r:id="rId29" display="https://www.scoresandodds.com/nfl/teams/eagles" xr:uid="{ADD5604D-EE78-4E77-BC6F-22069BFA5CB4}"/>
    <hyperlink ref="A149" r:id="rId30" display="https://www.scoresandodds.com/nfl/teams/cowboys" xr:uid="{0DD16815-8A60-48CD-8151-121B382E3FA4}"/>
    <hyperlink ref="A156" r:id="rId31" display="https://www.scoresandodds.com/nfl/teams/buccaneers" xr:uid="{07BA58C0-9D0F-4A54-B383-4079770E348A}"/>
    <hyperlink ref="A161" r:id="rId32" display="https://www.scoresandodds.com/nfl/teams/rams" xr:uid="{EFE84912-4FBA-4786-A362-2C2D45AE6094}"/>
    <hyperlink ref="A169" r:id="rId33" display="https://www.scoresandodds.com/nfl/teams/panthers" xr:uid="{E2C4B166-4935-47BD-BF23-8E85A905460A}"/>
    <hyperlink ref="A174" r:id="rId34" display="https://www.scoresandodds.com/nfl/teams/49ers" xr:uid="{FA46FE90-493D-46EC-A8A7-3B02689717C6}"/>
  </hyperlinks>
  <pageMargins left="0.7" right="0.7" top="0.75" bottom="0.75" header="0.3" footer="0.3"/>
  <drawing r:id="rId3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0080C-80C2-4B49-98A0-AFD8654512FB}">
  <dimension ref="A1:F200"/>
  <sheetViews>
    <sheetView workbookViewId="0">
      <selection activeCell="D9" sqref="D9:D13"/>
    </sheetView>
  </sheetViews>
  <sheetFormatPr baseColWidth="10" defaultRowHeight="15" x14ac:dyDescent="0.25"/>
  <cols>
    <col min="1" max="1" width="70.5703125" bestFit="1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3" spans="1:6" x14ac:dyDescent="0.25">
      <c r="A3" s="2" t="s">
        <v>2</v>
      </c>
    </row>
    <row r="4" spans="1:6" x14ac:dyDescent="0.25">
      <c r="A4" s="2" t="s">
        <v>3</v>
      </c>
    </row>
    <row r="5" spans="1:6" x14ac:dyDescent="0.25">
      <c r="A5" s="2" t="s">
        <v>4</v>
      </c>
    </row>
    <row r="6" spans="1:6" x14ac:dyDescent="0.25">
      <c r="A6" s="2" t="s">
        <v>5</v>
      </c>
    </row>
    <row r="7" spans="1:6" x14ac:dyDescent="0.25">
      <c r="A7" s="2" t="s">
        <v>6</v>
      </c>
    </row>
    <row r="8" spans="1:6" ht="15.75" thickBot="1" x14ac:dyDescent="0.3">
      <c r="A8" s="3" t="s">
        <v>369</v>
      </c>
      <c r="B8" s="4"/>
      <c r="C8" s="4" t="s">
        <v>8</v>
      </c>
      <c r="D8" s="4" t="s">
        <v>9</v>
      </c>
      <c r="E8" s="4" t="s">
        <v>10</v>
      </c>
      <c r="F8" s="4" t="s">
        <v>11</v>
      </c>
    </row>
    <row r="9" spans="1:6" x14ac:dyDescent="0.25">
      <c r="A9" s="5">
        <v>305</v>
      </c>
      <c r="B9" s="25">
        <v>31</v>
      </c>
      <c r="C9" s="8" t="s">
        <v>21</v>
      </c>
      <c r="D9" s="16">
        <f>2.5-105</f>
        <v>-102.5</v>
      </c>
      <c r="E9" s="16" t="s">
        <v>371</v>
      </c>
      <c r="F9" s="16">
        <v>124</v>
      </c>
    </row>
    <row r="10" spans="1:6" x14ac:dyDescent="0.25">
      <c r="A10" s="6" t="s">
        <v>370</v>
      </c>
      <c r="B10" s="24"/>
      <c r="C10" s="8"/>
      <c r="D10" s="15"/>
      <c r="E10" s="15"/>
      <c r="F10" s="15"/>
    </row>
    <row r="11" spans="1:6" x14ac:dyDescent="0.25">
      <c r="A11" s="7"/>
      <c r="B11" s="24"/>
      <c r="C11" s="8" t="s">
        <v>21</v>
      </c>
      <c r="D11" s="15"/>
      <c r="E11" s="15"/>
      <c r="F11" s="15"/>
    </row>
    <row r="12" spans="1:6" x14ac:dyDescent="0.25">
      <c r="A12" s="7"/>
      <c r="B12" s="24"/>
      <c r="C12" s="8"/>
      <c r="D12" s="15"/>
      <c r="E12" s="15"/>
      <c r="F12" s="15"/>
    </row>
    <row r="13" spans="1:6" x14ac:dyDescent="0.25">
      <c r="A13" s="7"/>
      <c r="B13" s="24"/>
      <c r="C13" s="8" t="s">
        <v>21</v>
      </c>
      <c r="D13" s="15"/>
      <c r="E13" s="15"/>
      <c r="F13" s="15"/>
    </row>
    <row r="14" spans="1:6" x14ac:dyDescent="0.25">
      <c r="A14" s="9">
        <v>306</v>
      </c>
      <c r="B14" s="26">
        <v>24</v>
      </c>
      <c r="C14" s="12">
        <f>-2.5-125</f>
        <v>-127.5</v>
      </c>
      <c r="D14" s="20">
        <f>-2.5-125</f>
        <v>-127.5</v>
      </c>
      <c r="E14" s="20" t="s">
        <v>373</v>
      </c>
      <c r="F14" s="20">
        <v>-160</v>
      </c>
    </row>
    <row r="15" spans="1:6" x14ac:dyDescent="0.25">
      <c r="A15" s="10" t="s">
        <v>372</v>
      </c>
      <c r="B15" s="26"/>
      <c r="C15" s="12"/>
      <c r="D15" s="20"/>
      <c r="E15" s="20"/>
      <c r="F15" s="20"/>
    </row>
    <row r="16" spans="1:6" x14ac:dyDescent="0.25">
      <c r="A16" s="11"/>
      <c r="B16" s="26"/>
      <c r="C16" s="12">
        <f>-2.5-125</f>
        <v>-127.5</v>
      </c>
      <c r="D16" s="20"/>
      <c r="E16" s="20"/>
      <c r="F16" s="20"/>
    </row>
    <row r="17" spans="1:6" x14ac:dyDescent="0.25">
      <c r="A17" s="11"/>
      <c r="B17" s="26"/>
      <c r="C17" s="12"/>
      <c r="D17" s="20"/>
      <c r="E17" s="20"/>
      <c r="F17" s="20"/>
    </row>
    <row r="18" spans="1:6" x14ac:dyDescent="0.25">
      <c r="A18" s="11"/>
      <c r="B18" s="26"/>
      <c r="C18" s="12">
        <f>-2.5-125</f>
        <v>-127.5</v>
      </c>
      <c r="D18" s="20"/>
      <c r="E18" s="20"/>
      <c r="F18" s="20"/>
    </row>
    <row r="19" spans="1:6" ht="37.5" x14ac:dyDescent="0.25">
      <c r="A19" s="22" t="s">
        <v>17</v>
      </c>
    </row>
    <row r="20" spans="1:6" x14ac:dyDescent="0.25">
      <c r="A20" s="23" t="s">
        <v>102</v>
      </c>
    </row>
    <row r="21" spans="1:6" ht="15.75" thickBot="1" x14ac:dyDescent="0.3">
      <c r="A21" s="3" t="s">
        <v>374</v>
      </c>
      <c r="B21" s="4"/>
      <c r="C21" s="4" t="s">
        <v>8</v>
      </c>
      <c r="D21" s="4" t="s">
        <v>9</v>
      </c>
      <c r="E21" s="4" t="s">
        <v>10</v>
      </c>
      <c r="F21" s="4" t="s">
        <v>11</v>
      </c>
    </row>
    <row r="22" spans="1:6" x14ac:dyDescent="0.25">
      <c r="A22" s="5">
        <v>307</v>
      </c>
      <c r="B22" s="14">
        <v>28</v>
      </c>
      <c r="C22" s="8">
        <f>-3.5-105</f>
        <v>-108.5</v>
      </c>
      <c r="D22" s="18">
        <f>-3.5-105</f>
        <v>-108.5</v>
      </c>
      <c r="E22" s="16" t="s">
        <v>376</v>
      </c>
      <c r="F22" s="18">
        <v>-185</v>
      </c>
    </row>
    <row r="23" spans="1:6" x14ac:dyDescent="0.25">
      <c r="A23" s="6" t="s">
        <v>375</v>
      </c>
      <c r="B23" s="13"/>
      <c r="C23" s="8"/>
      <c r="D23" s="17"/>
      <c r="E23" s="15"/>
      <c r="F23" s="17"/>
    </row>
    <row r="24" spans="1:6" x14ac:dyDescent="0.25">
      <c r="A24" s="7"/>
      <c r="B24" s="13"/>
      <c r="C24" s="8">
        <f>-3.5-105</f>
        <v>-108.5</v>
      </c>
      <c r="D24" s="17"/>
      <c r="E24" s="15"/>
      <c r="F24" s="17"/>
    </row>
    <row r="25" spans="1:6" x14ac:dyDescent="0.25">
      <c r="A25" s="7"/>
      <c r="B25" s="13"/>
      <c r="C25" s="8"/>
      <c r="D25" s="17"/>
      <c r="E25" s="15"/>
      <c r="F25" s="17"/>
    </row>
    <row r="26" spans="1:6" x14ac:dyDescent="0.25">
      <c r="A26" s="7"/>
      <c r="B26" s="13"/>
      <c r="C26" s="8">
        <f>-3.5-105</f>
        <v>-108.5</v>
      </c>
      <c r="D26" s="17"/>
      <c r="E26" s="15"/>
      <c r="F26" s="17"/>
    </row>
    <row r="27" spans="1:6" x14ac:dyDescent="0.25">
      <c r="A27" s="9">
        <v>308</v>
      </c>
      <c r="B27" s="19">
        <v>31</v>
      </c>
      <c r="C27" s="12" t="s">
        <v>376</v>
      </c>
      <c r="D27" s="21">
        <f>3.5-115</f>
        <v>-111.5</v>
      </c>
      <c r="E27" s="20" t="s">
        <v>379</v>
      </c>
      <c r="F27" s="21">
        <v>154</v>
      </c>
    </row>
    <row r="28" spans="1:6" x14ac:dyDescent="0.25">
      <c r="A28" s="10" t="s">
        <v>377</v>
      </c>
      <c r="B28" s="19"/>
      <c r="C28" s="12"/>
      <c r="D28" s="21"/>
      <c r="E28" s="20"/>
      <c r="F28" s="21"/>
    </row>
    <row r="29" spans="1:6" x14ac:dyDescent="0.25">
      <c r="A29" s="11"/>
      <c r="B29" s="19"/>
      <c r="C29" s="12" t="s">
        <v>378</v>
      </c>
      <c r="D29" s="21"/>
      <c r="E29" s="20"/>
      <c r="F29" s="21"/>
    </row>
    <row r="30" spans="1:6" x14ac:dyDescent="0.25">
      <c r="A30" s="11"/>
      <c r="B30" s="19"/>
      <c r="C30" s="12"/>
      <c r="D30" s="21"/>
      <c r="E30" s="20"/>
      <c r="F30" s="21"/>
    </row>
    <row r="31" spans="1:6" x14ac:dyDescent="0.25">
      <c r="A31" s="11"/>
      <c r="B31" s="19"/>
      <c r="C31" s="12" t="s">
        <v>241</v>
      </c>
      <c r="D31" s="21"/>
      <c r="E31" s="20"/>
      <c r="F31" s="21"/>
    </row>
    <row r="32" spans="1:6" ht="37.5" x14ac:dyDescent="0.25">
      <c r="A32" s="22" t="s">
        <v>17</v>
      </c>
    </row>
    <row r="33" spans="1:6" ht="15.75" thickBot="1" x14ac:dyDescent="0.3">
      <c r="A33" s="3" t="s">
        <v>380</v>
      </c>
      <c r="B33" s="4"/>
      <c r="C33" s="4" t="s">
        <v>8</v>
      </c>
      <c r="D33" s="4" t="s">
        <v>9</v>
      </c>
      <c r="E33" s="4" t="s">
        <v>10</v>
      </c>
      <c r="F33" s="4" t="s">
        <v>11</v>
      </c>
    </row>
    <row r="34" spans="1:6" x14ac:dyDescent="0.25">
      <c r="A34" s="5">
        <v>309</v>
      </c>
      <c r="B34" s="25">
        <v>32</v>
      </c>
      <c r="C34" s="8" t="s">
        <v>239</v>
      </c>
      <c r="D34" s="16" t="s">
        <v>189</v>
      </c>
      <c r="E34" s="18" t="s">
        <v>383</v>
      </c>
      <c r="F34" s="16">
        <v>295</v>
      </c>
    </row>
    <row r="35" spans="1:6" x14ac:dyDescent="0.25">
      <c r="A35" s="6" t="s">
        <v>381</v>
      </c>
      <c r="B35" s="24"/>
      <c r="C35" s="8"/>
      <c r="D35" s="15"/>
      <c r="E35" s="17"/>
      <c r="F35" s="15"/>
    </row>
    <row r="36" spans="1:6" x14ac:dyDescent="0.25">
      <c r="A36" s="7"/>
      <c r="B36" s="24"/>
      <c r="C36" s="8" t="s">
        <v>382</v>
      </c>
      <c r="D36" s="15"/>
      <c r="E36" s="17"/>
      <c r="F36" s="15"/>
    </row>
    <row r="37" spans="1:6" x14ac:dyDescent="0.25">
      <c r="A37" s="7"/>
      <c r="B37" s="24"/>
      <c r="C37" s="8"/>
      <c r="D37" s="15"/>
      <c r="E37" s="17"/>
      <c r="F37" s="15"/>
    </row>
    <row r="38" spans="1:6" x14ac:dyDescent="0.25">
      <c r="A38" s="7"/>
      <c r="B38" s="24"/>
      <c r="C38" s="8" t="s">
        <v>382</v>
      </c>
      <c r="D38" s="15"/>
      <c r="E38" s="17"/>
      <c r="F38" s="15"/>
    </row>
    <row r="39" spans="1:6" x14ac:dyDescent="0.25">
      <c r="A39" s="9">
        <v>310</v>
      </c>
      <c r="B39" s="26">
        <v>14</v>
      </c>
      <c r="C39" s="12">
        <f>-7-120</f>
        <v>-127</v>
      </c>
      <c r="D39" s="20">
        <f>-7-120</f>
        <v>-127</v>
      </c>
      <c r="E39" s="21" t="s">
        <v>239</v>
      </c>
      <c r="F39" s="20">
        <v>-375</v>
      </c>
    </row>
    <row r="40" spans="1:6" x14ac:dyDescent="0.25">
      <c r="A40" s="10" t="s">
        <v>384</v>
      </c>
      <c r="B40" s="26"/>
      <c r="C40" s="12"/>
      <c r="D40" s="20"/>
      <c r="E40" s="21"/>
      <c r="F40" s="20"/>
    </row>
    <row r="41" spans="1:6" x14ac:dyDescent="0.25">
      <c r="A41" s="11"/>
      <c r="B41" s="26"/>
      <c r="C41" s="12">
        <f>-7-120</f>
        <v>-127</v>
      </c>
      <c r="D41" s="20"/>
      <c r="E41" s="21"/>
      <c r="F41" s="20"/>
    </row>
    <row r="42" spans="1:6" x14ac:dyDescent="0.25">
      <c r="A42" s="11"/>
      <c r="B42" s="26"/>
      <c r="C42" s="12"/>
      <c r="D42" s="20"/>
      <c r="E42" s="21"/>
      <c r="F42" s="20"/>
    </row>
    <row r="43" spans="1:6" x14ac:dyDescent="0.25">
      <c r="A43" s="11"/>
      <c r="B43" s="26"/>
      <c r="C43" s="12">
        <f>-7-110</f>
        <v>-117</v>
      </c>
      <c r="D43" s="20"/>
      <c r="E43" s="21"/>
      <c r="F43" s="20"/>
    </row>
    <row r="44" spans="1:6" ht="37.5" x14ac:dyDescent="0.25">
      <c r="A44" s="22" t="s">
        <v>17</v>
      </c>
    </row>
    <row r="45" spans="1:6" ht="15.75" thickBot="1" x14ac:dyDescent="0.3">
      <c r="A45" s="3" t="s">
        <v>385</v>
      </c>
      <c r="B45" s="4"/>
      <c r="C45" s="4" t="s">
        <v>8</v>
      </c>
      <c r="D45" s="4" t="s">
        <v>9</v>
      </c>
      <c r="E45" s="4" t="s">
        <v>10</v>
      </c>
      <c r="F45" s="4" t="s">
        <v>11</v>
      </c>
    </row>
    <row r="46" spans="1:6" x14ac:dyDescent="0.25">
      <c r="A46" s="5">
        <v>313</v>
      </c>
      <c r="B46" s="25">
        <v>24</v>
      </c>
      <c r="C46" s="8" t="s">
        <v>315</v>
      </c>
      <c r="D46" s="16">
        <f>7-105</f>
        <v>-98</v>
      </c>
      <c r="E46" s="18" t="s">
        <v>387</v>
      </c>
      <c r="F46" s="16">
        <v>270</v>
      </c>
    </row>
    <row r="47" spans="1:6" x14ac:dyDescent="0.25">
      <c r="A47" s="6" t="s">
        <v>386</v>
      </c>
      <c r="B47" s="24"/>
      <c r="C47" s="8"/>
      <c r="D47" s="15"/>
      <c r="E47" s="17"/>
      <c r="F47" s="15"/>
    </row>
    <row r="48" spans="1:6" x14ac:dyDescent="0.25">
      <c r="A48" s="7"/>
      <c r="B48" s="24"/>
      <c r="C48" s="8" t="s">
        <v>185</v>
      </c>
      <c r="D48" s="15"/>
      <c r="E48" s="17"/>
      <c r="F48" s="15"/>
    </row>
    <row r="49" spans="1:6" x14ac:dyDescent="0.25">
      <c r="A49" s="7"/>
      <c r="B49" s="24"/>
      <c r="C49" s="8"/>
      <c r="D49" s="15"/>
      <c r="E49" s="17"/>
      <c r="F49" s="15"/>
    </row>
    <row r="50" spans="1:6" x14ac:dyDescent="0.25">
      <c r="A50" s="7"/>
      <c r="B50" s="24"/>
      <c r="C50" s="8" t="s">
        <v>185</v>
      </c>
      <c r="D50" s="15"/>
      <c r="E50" s="17"/>
      <c r="F50" s="15"/>
    </row>
    <row r="51" spans="1:6" x14ac:dyDescent="0.25">
      <c r="A51" s="9">
        <v>314</v>
      </c>
      <c r="B51" s="26">
        <v>15</v>
      </c>
      <c r="C51" s="12">
        <f>-7-115</f>
        <v>-122</v>
      </c>
      <c r="D51" s="20">
        <f>-7-115</f>
        <v>-122</v>
      </c>
      <c r="E51" s="21" t="s">
        <v>315</v>
      </c>
      <c r="F51" s="20">
        <v>-340</v>
      </c>
    </row>
    <row r="52" spans="1:6" x14ac:dyDescent="0.25">
      <c r="A52" s="10" t="s">
        <v>388</v>
      </c>
      <c r="B52" s="26"/>
      <c r="C52" s="12"/>
      <c r="D52" s="20"/>
      <c r="E52" s="21"/>
      <c r="F52" s="20"/>
    </row>
    <row r="53" spans="1:6" x14ac:dyDescent="0.25">
      <c r="A53" s="11"/>
      <c r="B53" s="26"/>
      <c r="C53" s="12">
        <f>-7-115</f>
        <v>-122</v>
      </c>
      <c r="D53" s="20"/>
      <c r="E53" s="21"/>
      <c r="F53" s="20"/>
    </row>
    <row r="54" spans="1:6" x14ac:dyDescent="0.25">
      <c r="A54" s="11"/>
      <c r="B54" s="26"/>
      <c r="C54" s="12"/>
      <c r="D54" s="20"/>
      <c r="E54" s="21"/>
      <c r="F54" s="20"/>
    </row>
    <row r="55" spans="1:6" x14ac:dyDescent="0.25">
      <c r="A55" s="11"/>
      <c r="B55" s="26"/>
      <c r="C55" s="12">
        <f>-7-112</f>
        <v>-119</v>
      </c>
      <c r="D55" s="20"/>
      <c r="E55" s="21"/>
      <c r="F55" s="20"/>
    </row>
    <row r="56" spans="1:6" ht="37.5" x14ac:dyDescent="0.25">
      <c r="A56" s="22" t="s">
        <v>17</v>
      </c>
    </row>
    <row r="57" spans="1:6" ht="15.75" thickBot="1" x14ac:dyDescent="0.3">
      <c r="A57" s="3" t="s">
        <v>389</v>
      </c>
      <c r="B57" s="4"/>
      <c r="C57" s="4" t="s">
        <v>8</v>
      </c>
      <c r="D57" s="4" t="s">
        <v>9</v>
      </c>
      <c r="E57" s="4" t="s">
        <v>10</v>
      </c>
      <c r="F57" s="4" t="s">
        <v>11</v>
      </c>
    </row>
    <row r="58" spans="1:6" x14ac:dyDescent="0.25">
      <c r="A58" s="5">
        <v>469</v>
      </c>
      <c r="B58" s="14">
        <v>17</v>
      </c>
      <c r="C58" s="8" t="s">
        <v>283</v>
      </c>
      <c r="D58" s="16">
        <f>5.5-110</f>
        <v>-104.5</v>
      </c>
      <c r="E58" s="18" t="s">
        <v>303</v>
      </c>
      <c r="F58" s="18">
        <v>205</v>
      </c>
    </row>
    <row r="59" spans="1:6" x14ac:dyDescent="0.25">
      <c r="A59" s="6" t="s">
        <v>390</v>
      </c>
      <c r="B59" s="13"/>
      <c r="C59" s="8"/>
      <c r="D59" s="15"/>
      <c r="E59" s="17"/>
      <c r="F59" s="17"/>
    </row>
    <row r="60" spans="1:6" x14ac:dyDescent="0.25">
      <c r="A60" s="7"/>
      <c r="B60" s="13"/>
      <c r="C60" s="8" t="s">
        <v>293</v>
      </c>
      <c r="D60" s="15"/>
      <c r="E60" s="17"/>
      <c r="F60" s="17"/>
    </row>
    <row r="61" spans="1:6" x14ac:dyDescent="0.25">
      <c r="A61" s="7"/>
      <c r="B61" s="13"/>
      <c r="C61" s="8"/>
      <c r="D61" s="15"/>
      <c r="E61" s="17"/>
      <c r="F61" s="17"/>
    </row>
    <row r="62" spans="1:6" x14ac:dyDescent="0.25">
      <c r="A62" s="7"/>
      <c r="B62" s="13"/>
      <c r="C62" s="8" t="s">
        <v>283</v>
      </c>
      <c r="D62" s="15"/>
      <c r="E62" s="17"/>
      <c r="F62" s="17"/>
    </row>
    <row r="63" spans="1:6" x14ac:dyDescent="0.25">
      <c r="A63" s="9">
        <v>470</v>
      </c>
      <c r="B63" s="19">
        <v>21</v>
      </c>
      <c r="C63" s="12">
        <f>-5.5-110</f>
        <v>-115.5</v>
      </c>
      <c r="D63" s="20">
        <f>-5.5-110</f>
        <v>-115.5</v>
      </c>
      <c r="E63" s="21" t="s">
        <v>283</v>
      </c>
      <c r="F63" s="21">
        <v>-258</v>
      </c>
    </row>
    <row r="64" spans="1:6" x14ac:dyDescent="0.25">
      <c r="A64" s="10" t="s">
        <v>391</v>
      </c>
      <c r="B64" s="19"/>
      <c r="C64" s="12"/>
      <c r="D64" s="20"/>
      <c r="E64" s="21"/>
      <c r="F64" s="21"/>
    </row>
    <row r="65" spans="1:6" x14ac:dyDescent="0.25">
      <c r="A65" s="11"/>
      <c r="B65" s="19"/>
      <c r="C65" s="12">
        <f>-5.5-110</f>
        <v>-115.5</v>
      </c>
      <c r="D65" s="20"/>
      <c r="E65" s="21"/>
      <c r="F65" s="21"/>
    </row>
    <row r="66" spans="1:6" x14ac:dyDescent="0.25">
      <c r="A66" s="11"/>
      <c r="B66" s="19"/>
      <c r="C66" s="12"/>
      <c r="D66" s="20"/>
      <c r="E66" s="21"/>
      <c r="F66" s="21"/>
    </row>
    <row r="67" spans="1:6" x14ac:dyDescent="0.25">
      <c r="A67" s="11"/>
      <c r="B67" s="19"/>
      <c r="C67" s="12">
        <f>-5.5-110</f>
        <v>-115.5</v>
      </c>
      <c r="D67" s="20"/>
      <c r="E67" s="21"/>
      <c r="F67" s="21"/>
    </row>
    <row r="68" spans="1:6" ht="37.5" x14ac:dyDescent="0.25">
      <c r="A68" s="22" t="s">
        <v>17</v>
      </c>
    </row>
    <row r="69" spans="1:6" ht="15.75" thickBot="1" x14ac:dyDescent="0.3">
      <c r="A69" s="3" t="s">
        <v>389</v>
      </c>
      <c r="B69" s="4"/>
      <c r="C69" s="4" t="s">
        <v>8</v>
      </c>
      <c r="D69" s="4" t="s">
        <v>9</v>
      </c>
      <c r="E69" s="4" t="s">
        <v>10</v>
      </c>
      <c r="F69" s="4" t="s">
        <v>11</v>
      </c>
    </row>
    <row r="70" spans="1:6" x14ac:dyDescent="0.25">
      <c r="A70" s="5">
        <v>467</v>
      </c>
      <c r="B70" s="14">
        <v>28</v>
      </c>
      <c r="C70" s="8">
        <f>-10-110</f>
        <v>-120</v>
      </c>
      <c r="D70" s="18">
        <f>-10-110</f>
        <v>-120</v>
      </c>
      <c r="E70" s="16" t="s">
        <v>167</v>
      </c>
      <c r="F70" s="18">
        <v>-575</v>
      </c>
    </row>
    <row r="71" spans="1:6" x14ac:dyDescent="0.25">
      <c r="A71" s="6" t="s">
        <v>392</v>
      </c>
      <c r="B71" s="13"/>
      <c r="C71" s="8"/>
      <c r="D71" s="17"/>
      <c r="E71" s="15"/>
      <c r="F71" s="17"/>
    </row>
    <row r="72" spans="1:6" x14ac:dyDescent="0.25">
      <c r="A72" s="7"/>
      <c r="B72" s="13"/>
      <c r="C72" s="8">
        <f>-10-115</f>
        <v>-125</v>
      </c>
      <c r="D72" s="17"/>
      <c r="E72" s="15"/>
      <c r="F72" s="17"/>
    </row>
    <row r="73" spans="1:6" x14ac:dyDescent="0.25">
      <c r="A73" s="7"/>
      <c r="B73" s="13"/>
      <c r="C73" s="8"/>
      <c r="D73" s="17"/>
      <c r="E73" s="15"/>
      <c r="F73" s="17"/>
    </row>
    <row r="74" spans="1:6" x14ac:dyDescent="0.25">
      <c r="A74" s="7"/>
      <c r="B74" s="13"/>
      <c r="C74" s="8">
        <f>-10.5-108</f>
        <v>-118.5</v>
      </c>
      <c r="D74" s="17"/>
      <c r="E74" s="15"/>
      <c r="F74" s="17"/>
    </row>
    <row r="75" spans="1:6" x14ac:dyDescent="0.25">
      <c r="A75" s="9">
        <v>468</v>
      </c>
      <c r="B75" s="19">
        <v>31</v>
      </c>
      <c r="C75" s="12" t="s">
        <v>328</v>
      </c>
      <c r="D75" s="21">
        <f>10-110</f>
        <v>-100</v>
      </c>
      <c r="E75" s="20" t="s">
        <v>328</v>
      </c>
      <c r="F75" s="21">
        <v>425</v>
      </c>
    </row>
    <row r="76" spans="1:6" x14ac:dyDescent="0.25">
      <c r="A76" s="10" t="s">
        <v>393</v>
      </c>
      <c r="B76" s="19"/>
      <c r="C76" s="12"/>
      <c r="D76" s="21"/>
      <c r="E76" s="20"/>
      <c r="F76" s="21"/>
    </row>
    <row r="77" spans="1:6" x14ac:dyDescent="0.25">
      <c r="A77" s="11"/>
      <c r="B77" s="19"/>
      <c r="C77" s="12" t="s">
        <v>328</v>
      </c>
      <c r="D77" s="21"/>
      <c r="E77" s="20"/>
      <c r="F77" s="21"/>
    </row>
    <row r="78" spans="1:6" x14ac:dyDescent="0.25">
      <c r="A78" s="11"/>
      <c r="B78" s="19"/>
      <c r="C78" s="12"/>
      <c r="D78" s="21"/>
      <c r="E78" s="20"/>
      <c r="F78" s="21"/>
    </row>
    <row r="79" spans="1:6" x14ac:dyDescent="0.25">
      <c r="A79" s="11"/>
      <c r="B79" s="19"/>
      <c r="C79" s="12" t="s">
        <v>328</v>
      </c>
      <c r="D79" s="21"/>
      <c r="E79" s="20"/>
      <c r="F79" s="21"/>
    </row>
    <row r="80" spans="1:6" ht="37.5" x14ac:dyDescent="0.25">
      <c r="A80" s="22" t="s">
        <v>17</v>
      </c>
    </row>
    <row r="81" spans="1:6" ht="15.75" thickBot="1" x14ac:dyDescent="0.3">
      <c r="A81" s="3" t="s">
        <v>389</v>
      </c>
      <c r="B81" s="4"/>
      <c r="C81" s="4" t="s">
        <v>8</v>
      </c>
      <c r="D81" s="4" t="s">
        <v>9</v>
      </c>
      <c r="E81" s="4" t="s">
        <v>10</v>
      </c>
      <c r="F81" s="4" t="s">
        <v>11</v>
      </c>
    </row>
    <row r="82" spans="1:6" x14ac:dyDescent="0.25">
      <c r="A82" s="5">
        <v>471</v>
      </c>
      <c r="B82" s="14">
        <v>24</v>
      </c>
      <c r="C82" s="8">
        <f>-3-112</f>
        <v>-115</v>
      </c>
      <c r="D82" s="18">
        <f>-3-108</f>
        <v>-111</v>
      </c>
      <c r="E82" s="16" t="s">
        <v>150</v>
      </c>
      <c r="F82" s="18">
        <v>-162</v>
      </c>
    </row>
    <row r="83" spans="1:6" x14ac:dyDescent="0.25">
      <c r="A83" s="6" t="s">
        <v>394</v>
      </c>
      <c r="B83" s="13"/>
      <c r="C83" s="8"/>
      <c r="D83" s="17"/>
      <c r="E83" s="15"/>
      <c r="F83" s="17"/>
    </row>
    <row r="84" spans="1:6" x14ac:dyDescent="0.25">
      <c r="A84" s="7"/>
      <c r="B84" s="13"/>
      <c r="C84" s="8">
        <f>-3-112</f>
        <v>-115</v>
      </c>
      <c r="D84" s="17"/>
      <c r="E84" s="15"/>
      <c r="F84" s="17"/>
    </row>
    <row r="85" spans="1:6" x14ac:dyDescent="0.25">
      <c r="A85" s="7"/>
      <c r="B85" s="13"/>
      <c r="C85" s="8"/>
      <c r="D85" s="17"/>
      <c r="E85" s="15"/>
      <c r="F85" s="17"/>
    </row>
    <row r="86" spans="1:6" x14ac:dyDescent="0.25">
      <c r="A86" s="7"/>
      <c r="B86" s="13"/>
      <c r="C86" s="8">
        <f>-3-112</f>
        <v>-115</v>
      </c>
      <c r="D86" s="17"/>
      <c r="E86" s="15"/>
      <c r="F86" s="17"/>
    </row>
    <row r="87" spans="1:6" x14ac:dyDescent="0.25">
      <c r="A87" s="9">
        <v>472</v>
      </c>
      <c r="B87" s="19">
        <v>27</v>
      </c>
      <c r="C87" s="12" t="s">
        <v>152</v>
      </c>
      <c r="D87" s="21">
        <f>3-112</f>
        <v>-109</v>
      </c>
      <c r="E87" s="20" t="s">
        <v>152</v>
      </c>
      <c r="F87" s="21">
        <v>136</v>
      </c>
    </row>
    <row r="88" spans="1:6" x14ac:dyDescent="0.25">
      <c r="A88" s="10" t="s">
        <v>395</v>
      </c>
      <c r="B88" s="19"/>
      <c r="C88" s="12"/>
      <c r="D88" s="21"/>
      <c r="E88" s="20"/>
      <c r="F88" s="21"/>
    </row>
    <row r="89" spans="1:6" x14ac:dyDescent="0.25">
      <c r="A89" s="11"/>
      <c r="B89" s="19"/>
      <c r="C89" s="12" t="s">
        <v>152</v>
      </c>
      <c r="D89" s="21"/>
      <c r="E89" s="20"/>
      <c r="F89" s="21"/>
    </row>
    <row r="90" spans="1:6" x14ac:dyDescent="0.25">
      <c r="A90" s="11"/>
      <c r="B90" s="19"/>
      <c r="C90" s="12"/>
      <c r="D90" s="21"/>
      <c r="E90" s="20"/>
      <c r="F90" s="21"/>
    </row>
    <row r="91" spans="1:6" x14ac:dyDescent="0.25">
      <c r="A91" s="11"/>
      <c r="B91" s="19"/>
      <c r="C91" s="12" t="s">
        <v>152</v>
      </c>
      <c r="D91" s="21"/>
      <c r="E91" s="20"/>
      <c r="F91" s="21"/>
    </row>
    <row r="92" spans="1:6" ht="37.5" x14ac:dyDescent="0.25">
      <c r="A92" s="22" t="s">
        <v>17</v>
      </c>
    </row>
    <row r="93" spans="1:6" ht="15.75" thickBot="1" x14ac:dyDescent="0.3">
      <c r="A93" s="3" t="s">
        <v>389</v>
      </c>
      <c r="B93" s="4"/>
      <c r="C93" s="4" t="s">
        <v>8</v>
      </c>
      <c r="D93" s="4" t="s">
        <v>9</v>
      </c>
      <c r="E93" s="4" t="s">
        <v>10</v>
      </c>
      <c r="F93" s="4" t="s">
        <v>11</v>
      </c>
    </row>
    <row r="94" spans="1:6" x14ac:dyDescent="0.25">
      <c r="A94" s="5">
        <v>473</v>
      </c>
      <c r="B94" s="25">
        <v>26</v>
      </c>
      <c r="C94" s="8">
        <f>-5.5-108</f>
        <v>-113.5</v>
      </c>
      <c r="D94" s="16">
        <f>-4.5-120</f>
        <v>-124.5</v>
      </c>
      <c r="E94" s="18" t="s">
        <v>397</v>
      </c>
      <c r="F94" s="16">
        <v>-238</v>
      </c>
    </row>
    <row r="95" spans="1:6" x14ac:dyDescent="0.25">
      <c r="A95" s="6" t="s">
        <v>396</v>
      </c>
      <c r="B95" s="24"/>
      <c r="C95" s="8"/>
      <c r="D95" s="15"/>
      <c r="E95" s="17"/>
      <c r="F95" s="15"/>
    </row>
    <row r="96" spans="1:6" x14ac:dyDescent="0.25">
      <c r="A96" s="7"/>
      <c r="B96" s="24"/>
      <c r="C96" s="8">
        <f>-5.5-108</f>
        <v>-113.5</v>
      </c>
      <c r="D96" s="15"/>
      <c r="E96" s="17"/>
      <c r="F96" s="15"/>
    </row>
    <row r="97" spans="1:6" x14ac:dyDescent="0.25">
      <c r="A97" s="7"/>
      <c r="B97" s="24"/>
      <c r="C97" s="8"/>
      <c r="D97" s="15"/>
      <c r="E97" s="17"/>
      <c r="F97" s="15"/>
    </row>
    <row r="98" spans="1:6" x14ac:dyDescent="0.25">
      <c r="A98" s="7"/>
      <c r="B98" s="24"/>
      <c r="C98" s="8">
        <f>-5.5-108</f>
        <v>-113.5</v>
      </c>
      <c r="D98" s="15"/>
      <c r="E98" s="17"/>
      <c r="F98" s="15"/>
    </row>
    <row r="99" spans="1:6" x14ac:dyDescent="0.25">
      <c r="A99" s="9">
        <v>474</v>
      </c>
      <c r="B99" s="26">
        <v>8</v>
      </c>
      <c r="C99" s="12" t="s">
        <v>399</v>
      </c>
      <c r="D99" s="20">
        <f>4.5-110</f>
        <v>-105.5</v>
      </c>
      <c r="E99" s="21" t="s">
        <v>402</v>
      </c>
      <c r="F99" s="20">
        <v>180</v>
      </c>
    </row>
    <row r="100" spans="1:6" x14ac:dyDescent="0.25">
      <c r="A100" s="10" t="s">
        <v>398</v>
      </c>
      <c r="B100" s="26"/>
      <c r="C100" s="12"/>
      <c r="D100" s="20"/>
      <c r="E100" s="21"/>
      <c r="F100" s="20"/>
    </row>
    <row r="101" spans="1:6" x14ac:dyDescent="0.25">
      <c r="A101" s="11"/>
      <c r="B101" s="26"/>
      <c r="C101" s="12" t="s">
        <v>400</v>
      </c>
      <c r="D101" s="20"/>
      <c r="E101" s="21"/>
      <c r="F101" s="20"/>
    </row>
    <row r="102" spans="1:6" x14ac:dyDescent="0.25">
      <c r="A102" s="11"/>
      <c r="B102" s="26"/>
      <c r="C102" s="12"/>
      <c r="D102" s="20"/>
      <c r="E102" s="21"/>
      <c r="F102" s="20"/>
    </row>
    <row r="103" spans="1:6" x14ac:dyDescent="0.25">
      <c r="A103" s="11"/>
      <c r="B103" s="26"/>
      <c r="C103" s="12" t="s">
        <v>401</v>
      </c>
      <c r="D103" s="20"/>
      <c r="E103" s="21"/>
      <c r="F103" s="20"/>
    </row>
    <row r="104" spans="1:6" ht="37.5" x14ac:dyDescent="0.25">
      <c r="A104" s="22" t="s">
        <v>17</v>
      </c>
    </row>
    <row r="105" spans="1:6" ht="15.75" thickBot="1" x14ac:dyDescent="0.3">
      <c r="A105" s="3" t="s">
        <v>389</v>
      </c>
      <c r="B105" s="4"/>
      <c r="C105" s="4" t="s">
        <v>8</v>
      </c>
      <c r="D105" s="4" t="s">
        <v>9</v>
      </c>
      <c r="E105" s="4" t="s">
        <v>10</v>
      </c>
      <c r="F105" s="4" t="s">
        <v>11</v>
      </c>
    </row>
    <row r="106" spans="1:6" x14ac:dyDescent="0.25">
      <c r="A106" s="5">
        <v>465</v>
      </c>
      <c r="B106" s="25">
        <v>25</v>
      </c>
      <c r="C106" s="8">
        <f>-6-108</f>
        <v>-114</v>
      </c>
      <c r="D106" s="16">
        <f>-6-108</f>
        <v>-114</v>
      </c>
      <c r="E106" s="18" t="s">
        <v>13</v>
      </c>
      <c r="F106" s="16">
        <v>-265</v>
      </c>
    </row>
    <row r="107" spans="1:6" x14ac:dyDescent="0.25">
      <c r="A107" s="6" t="s">
        <v>403</v>
      </c>
      <c r="B107" s="24"/>
      <c r="C107" s="8"/>
      <c r="D107" s="15"/>
      <c r="E107" s="17"/>
      <c r="F107" s="15"/>
    </row>
    <row r="108" spans="1:6" x14ac:dyDescent="0.25">
      <c r="A108" s="7"/>
      <c r="B108" s="24"/>
      <c r="C108" s="8">
        <f>-6-108</f>
        <v>-114</v>
      </c>
      <c r="D108" s="15"/>
      <c r="E108" s="17"/>
      <c r="F108" s="15"/>
    </row>
    <row r="109" spans="1:6" x14ac:dyDescent="0.25">
      <c r="A109" s="7"/>
      <c r="B109" s="24"/>
      <c r="C109" s="8"/>
      <c r="D109" s="15"/>
      <c r="E109" s="17"/>
      <c r="F109" s="15"/>
    </row>
    <row r="110" spans="1:6" x14ac:dyDescent="0.25">
      <c r="A110" s="7"/>
      <c r="B110" s="24"/>
      <c r="C110" s="8">
        <f>-5.5-115</f>
        <v>-120.5</v>
      </c>
      <c r="D110" s="15"/>
      <c r="E110" s="17"/>
      <c r="F110" s="15"/>
    </row>
    <row r="111" spans="1:6" x14ac:dyDescent="0.25">
      <c r="A111" s="9">
        <v>466</v>
      </c>
      <c r="B111" s="26">
        <v>3</v>
      </c>
      <c r="C111" s="12" t="s">
        <v>16</v>
      </c>
      <c r="D111" s="20">
        <f>6-112</f>
        <v>-106</v>
      </c>
      <c r="E111" s="21" t="s">
        <v>16</v>
      </c>
      <c r="F111" s="20">
        <v>215</v>
      </c>
    </row>
    <row r="112" spans="1:6" x14ac:dyDescent="0.25">
      <c r="A112" s="10" t="s">
        <v>404</v>
      </c>
      <c r="B112" s="26"/>
      <c r="C112" s="12"/>
      <c r="D112" s="20"/>
      <c r="E112" s="21"/>
      <c r="F112" s="20"/>
    </row>
    <row r="113" spans="1:6" x14ac:dyDescent="0.25">
      <c r="A113" s="11"/>
      <c r="B113" s="26"/>
      <c r="C113" s="12" t="s">
        <v>303</v>
      </c>
      <c r="D113" s="20"/>
      <c r="E113" s="21"/>
      <c r="F113" s="20"/>
    </row>
    <row r="114" spans="1:6" x14ac:dyDescent="0.25">
      <c r="A114" s="11"/>
      <c r="B114" s="26"/>
      <c r="C114" s="12"/>
      <c r="D114" s="20"/>
      <c r="E114" s="21"/>
      <c r="F114" s="20"/>
    </row>
    <row r="115" spans="1:6" x14ac:dyDescent="0.25">
      <c r="A115" s="11"/>
      <c r="B115" s="26"/>
      <c r="C115" s="12" t="s">
        <v>303</v>
      </c>
      <c r="D115" s="20"/>
      <c r="E115" s="21"/>
      <c r="F115" s="20"/>
    </row>
    <row r="116" spans="1:6" ht="37.5" x14ac:dyDescent="0.25">
      <c r="A116" s="22" t="s">
        <v>17</v>
      </c>
    </row>
    <row r="117" spans="1:6" ht="15.75" thickBot="1" x14ac:dyDescent="0.3">
      <c r="A117" s="3" t="s">
        <v>389</v>
      </c>
      <c r="B117" s="4"/>
      <c r="C117" s="4" t="s">
        <v>8</v>
      </c>
      <c r="D117" s="4" t="s">
        <v>9</v>
      </c>
      <c r="E117" s="4" t="s">
        <v>10</v>
      </c>
      <c r="F117" s="4" t="s">
        <v>11</v>
      </c>
    </row>
    <row r="118" spans="1:6" x14ac:dyDescent="0.25">
      <c r="A118" s="5">
        <v>463</v>
      </c>
      <c r="B118" s="14">
        <v>17</v>
      </c>
      <c r="C118" s="8" t="s">
        <v>406</v>
      </c>
      <c r="D118" s="16">
        <f>4.5-108</f>
        <v>-103.5</v>
      </c>
      <c r="E118" s="18" t="s">
        <v>407</v>
      </c>
      <c r="F118" s="18">
        <v>185</v>
      </c>
    </row>
    <row r="119" spans="1:6" x14ac:dyDescent="0.25">
      <c r="A119" s="6" t="s">
        <v>405</v>
      </c>
      <c r="B119" s="13"/>
      <c r="C119" s="8"/>
      <c r="D119" s="15"/>
      <c r="E119" s="17"/>
      <c r="F119" s="17"/>
    </row>
    <row r="120" spans="1:6" x14ac:dyDescent="0.25">
      <c r="A120" s="7"/>
      <c r="B120" s="13"/>
      <c r="C120" s="8" t="s">
        <v>192</v>
      </c>
      <c r="D120" s="15"/>
      <c r="E120" s="17"/>
      <c r="F120" s="17"/>
    </row>
    <row r="121" spans="1:6" x14ac:dyDescent="0.25">
      <c r="A121" s="7"/>
      <c r="B121" s="13"/>
      <c r="C121" s="8"/>
      <c r="D121" s="15"/>
      <c r="E121" s="17"/>
      <c r="F121" s="17"/>
    </row>
    <row r="122" spans="1:6" x14ac:dyDescent="0.25">
      <c r="A122" s="7"/>
      <c r="B122" s="13"/>
      <c r="C122" s="8" t="s">
        <v>192</v>
      </c>
      <c r="D122" s="15"/>
      <c r="E122" s="17"/>
      <c r="F122" s="17"/>
    </row>
    <row r="123" spans="1:6" x14ac:dyDescent="0.25">
      <c r="A123" s="9">
        <v>464</v>
      </c>
      <c r="B123" s="19">
        <v>20</v>
      </c>
      <c r="C123" s="12">
        <f>-4.5-112</f>
        <v>-116.5</v>
      </c>
      <c r="D123" s="20">
        <f>-4.5-112</f>
        <v>-116.5</v>
      </c>
      <c r="E123" s="21" t="s">
        <v>406</v>
      </c>
      <c r="F123" s="21">
        <v>-225</v>
      </c>
    </row>
    <row r="124" spans="1:6" x14ac:dyDescent="0.25">
      <c r="A124" s="10" t="s">
        <v>408</v>
      </c>
      <c r="B124" s="19"/>
      <c r="C124" s="12"/>
      <c r="D124" s="20"/>
      <c r="E124" s="21"/>
      <c r="F124" s="21"/>
    </row>
    <row r="125" spans="1:6" x14ac:dyDescent="0.25">
      <c r="A125" s="11"/>
      <c r="B125" s="19"/>
      <c r="C125" s="12">
        <f>-4.5-112</f>
        <v>-116.5</v>
      </c>
      <c r="D125" s="20"/>
      <c r="E125" s="21"/>
      <c r="F125" s="21"/>
    </row>
    <row r="126" spans="1:6" x14ac:dyDescent="0.25">
      <c r="A126" s="11"/>
      <c r="B126" s="19"/>
      <c r="C126" s="12"/>
      <c r="D126" s="20"/>
      <c r="E126" s="21"/>
      <c r="F126" s="21"/>
    </row>
    <row r="127" spans="1:6" x14ac:dyDescent="0.25">
      <c r="A127" s="11"/>
      <c r="B127" s="19"/>
      <c r="C127" s="12">
        <f>-4.5-105</f>
        <v>-109.5</v>
      </c>
      <c r="D127" s="20"/>
      <c r="E127" s="21"/>
      <c r="F127" s="21"/>
    </row>
    <row r="128" spans="1:6" ht="37.5" x14ac:dyDescent="0.25">
      <c r="A128" s="22" t="s">
        <v>17</v>
      </c>
    </row>
    <row r="129" spans="1:6" ht="15.75" thickBot="1" x14ac:dyDescent="0.3">
      <c r="A129" s="3" t="s">
        <v>389</v>
      </c>
      <c r="B129" s="4"/>
      <c r="C129" s="4" t="s">
        <v>8</v>
      </c>
      <c r="D129" s="4" t="s">
        <v>9</v>
      </c>
      <c r="E129" s="4" t="s">
        <v>10</v>
      </c>
      <c r="F129" s="4" t="s">
        <v>11</v>
      </c>
    </row>
    <row r="130" spans="1:6" x14ac:dyDescent="0.25">
      <c r="A130" s="5">
        <v>461</v>
      </c>
      <c r="B130" s="25">
        <v>20</v>
      </c>
      <c r="C130" s="8" t="s">
        <v>305</v>
      </c>
      <c r="D130" s="16">
        <f>3-105</f>
        <v>-102</v>
      </c>
      <c r="E130" s="18" t="s">
        <v>159</v>
      </c>
      <c r="F130" s="16">
        <v>140</v>
      </c>
    </row>
    <row r="131" spans="1:6" x14ac:dyDescent="0.25">
      <c r="A131" s="6" t="s">
        <v>409</v>
      </c>
      <c r="B131" s="24"/>
      <c r="C131" s="8"/>
      <c r="D131" s="15"/>
      <c r="E131" s="17"/>
      <c r="F131" s="15"/>
    </row>
    <row r="132" spans="1:6" x14ac:dyDescent="0.25">
      <c r="A132" s="7"/>
      <c r="B132" s="24"/>
      <c r="C132" s="8" t="s">
        <v>167</v>
      </c>
      <c r="D132" s="15"/>
      <c r="E132" s="17"/>
      <c r="F132" s="15"/>
    </row>
    <row r="133" spans="1:6" x14ac:dyDescent="0.25">
      <c r="A133" s="7"/>
      <c r="B133" s="24"/>
      <c r="C133" s="8"/>
      <c r="D133" s="15"/>
      <c r="E133" s="17"/>
      <c r="F133" s="15"/>
    </row>
    <row r="134" spans="1:6" x14ac:dyDescent="0.25">
      <c r="A134" s="7"/>
      <c r="B134" s="24"/>
      <c r="C134" s="8" t="s">
        <v>167</v>
      </c>
      <c r="D134" s="15"/>
      <c r="E134" s="17"/>
      <c r="F134" s="15"/>
    </row>
    <row r="135" spans="1:6" x14ac:dyDescent="0.25">
      <c r="A135" s="9">
        <v>462</v>
      </c>
      <c r="B135" s="26">
        <v>16</v>
      </c>
      <c r="C135" s="12">
        <f>-3-115</f>
        <v>-118</v>
      </c>
      <c r="D135" s="20">
        <f>-3-115</f>
        <v>-118</v>
      </c>
      <c r="E135" s="21" t="s">
        <v>305</v>
      </c>
      <c r="F135" s="20">
        <v>-166</v>
      </c>
    </row>
    <row r="136" spans="1:6" x14ac:dyDescent="0.25">
      <c r="A136" s="10" t="s">
        <v>410</v>
      </c>
      <c r="B136" s="26"/>
      <c r="C136" s="12"/>
      <c r="D136" s="20"/>
      <c r="E136" s="21"/>
      <c r="F136" s="20"/>
    </row>
    <row r="137" spans="1:6" x14ac:dyDescent="0.25">
      <c r="A137" s="11"/>
      <c r="B137" s="26"/>
      <c r="C137" s="12">
        <f>-3-115</f>
        <v>-118</v>
      </c>
      <c r="D137" s="20"/>
      <c r="E137" s="21"/>
      <c r="F137" s="20"/>
    </row>
    <row r="138" spans="1:6" x14ac:dyDescent="0.25">
      <c r="A138" s="11"/>
      <c r="B138" s="26"/>
      <c r="C138" s="12"/>
      <c r="D138" s="20"/>
      <c r="E138" s="21"/>
      <c r="F138" s="20"/>
    </row>
    <row r="139" spans="1:6" x14ac:dyDescent="0.25">
      <c r="A139" s="11"/>
      <c r="B139" s="26"/>
      <c r="C139" s="12">
        <f>-3-110</f>
        <v>-113</v>
      </c>
      <c r="D139" s="20"/>
      <c r="E139" s="21"/>
      <c r="F139" s="20"/>
    </row>
    <row r="140" spans="1:6" ht="37.5" x14ac:dyDescent="0.25">
      <c r="A140" s="22" t="s">
        <v>17</v>
      </c>
    </row>
    <row r="141" spans="1:6" ht="15.75" thickBot="1" x14ac:dyDescent="0.3">
      <c r="A141" s="3" t="s">
        <v>411</v>
      </c>
      <c r="B141" s="4"/>
      <c r="C141" s="4" t="s">
        <v>8</v>
      </c>
      <c r="D141" s="4" t="s">
        <v>9</v>
      </c>
      <c r="E141" s="4" t="s">
        <v>10</v>
      </c>
      <c r="F141" s="4" t="s">
        <v>11</v>
      </c>
    </row>
    <row r="142" spans="1:6" x14ac:dyDescent="0.25">
      <c r="A142" s="5">
        <v>475</v>
      </c>
      <c r="B142" s="14">
        <v>0</v>
      </c>
      <c r="C142" s="8" t="s">
        <v>301</v>
      </c>
      <c r="D142" s="18">
        <f>12.5-110</f>
        <v>-97.5</v>
      </c>
      <c r="E142" s="18" t="s">
        <v>301</v>
      </c>
      <c r="F142" s="18">
        <v>625</v>
      </c>
    </row>
    <row r="143" spans="1:6" x14ac:dyDescent="0.25">
      <c r="A143" s="6" t="s">
        <v>412</v>
      </c>
      <c r="B143" s="13"/>
      <c r="C143" s="8"/>
      <c r="D143" s="17"/>
      <c r="E143" s="17"/>
      <c r="F143" s="17"/>
    </row>
    <row r="144" spans="1:6" x14ac:dyDescent="0.25">
      <c r="A144" s="7"/>
      <c r="B144" s="13"/>
      <c r="C144" s="8" t="s">
        <v>289</v>
      </c>
      <c r="D144" s="17"/>
      <c r="E144" s="17"/>
      <c r="F144" s="17"/>
    </row>
    <row r="145" spans="1:6" x14ac:dyDescent="0.25">
      <c r="A145" s="7"/>
      <c r="B145" s="13"/>
      <c r="C145" s="8"/>
      <c r="D145" s="17"/>
      <c r="E145" s="17"/>
      <c r="F145" s="17"/>
    </row>
    <row r="146" spans="1:6" x14ac:dyDescent="0.25">
      <c r="A146" s="7"/>
      <c r="B146" s="13"/>
      <c r="C146" s="8" t="s">
        <v>289</v>
      </c>
      <c r="D146" s="17"/>
      <c r="E146" s="17"/>
      <c r="F146" s="17"/>
    </row>
    <row r="147" spans="1:6" x14ac:dyDescent="0.25">
      <c r="A147" s="9">
        <v>476</v>
      </c>
      <c r="B147" s="19">
        <v>26</v>
      </c>
      <c r="C147" s="12">
        <f>-12.5-110</f>
        <v>-122.5</v>
      </c>
      <c r="D147" s="21">
        <f>-12.5-110</f>
        <v>-122.5</v>
      </c>
      <c r="E147" s="21" t="s">
        <v>155</v>
      </c>
      <c r="F147" s="21">
        <v>-950</v>
      </c>
    </row>
    <row r="148" spans="1:6" x14ac:dyDescent="0.25">
      <c r="A148" s="10" t="s">
        <v>413</v>
      </c>
      <c r="B148" s="19"/>
      <c r="C148" s="12"/>
      <c r="D148" s="21"/>
      <c r="E148" s="21"/>
      <c r="F148" s="21"/>
    </row>
    <row r="149" spans="1:6" x14ac:dyDescent="0.25">
      <c r="A149" s="11"/>
      <c r="B149" s="19"/>
      <c r="C149" s="12">
        <f>-12.5-110</f>
        <v>-122.5</v>
      </c>
      <c r="D149" s="21"/>
      <c r="E149" s="21"/>
      <c r="F149" s="21"/>
    </row>
    <row r="150" spans="1:6" x14ac:dyDescent="0.25">
      <c r="A150" s="11"/>
      <c r="B150" s="19"/>
      <c r="C150" s="12"/>
      <c r="D150" s="21"/>
      <c r="E150" s="21"/>
      <c r="F150" s="21"/>
    </row>
    <row r="151" spans="1:6" x14ac:dyDescent="0.25">
      <c r="A151" s="11"/>
      <c r="B151" s="19"/>
      <c r="C151" s="12">
        <f>-11.5-115</f>
        <v>-126.5</v>
      </c>
      <c r="D151" s="21"/>
      <c r="E151" s="21"/>
      <c r="F151" s="21"/>
    </row>
    <row r="152" spans="1:6" ht="37.5" x14ac:dyDescent="0.25">
      <c r="A152" s="22" t="s">
        <v>17</v>
      </c>
    </row>
    <row r="153" spans="1:6" ht="15.75" thickBot="1" x14ac:dyDescent="0.3">
      <c r="A153" s="3" t="s">
        <v>414</v>
      </c>
      <c r="B153" s="4"/>
      <c r="C153" s="4" t="s">
        <v>8</v>
      </c>
      <c r="D153" s="4" t="s">
        <v>9</v>
      </c>
      <c r="E153" s="4" t="s">
        <v>10</v>
      </c>
      <c r="F153" s="4" t="s">
        <v>11</v>
      </c>
    </row>
    <row r="154" spans="1:6" x14ac:dyDescent="0.25">
      <c r="A154" s="5">
        <v>477</v>
      </c>
      <c r="B154" s="25">
        <v>26</v>
      </c>
      <c r="C154" s="8">
        <f>-3-115</f>
        <v>-118</v>
      </c>
      <c r="D154" s="16">
        <f>-3-120</f>
        <v>-123</v>
      </c>
      <c r="E154" s="18" t="s">
        <v>159</v>
      </c>
      <c r="F154" s="16">
        <v>-175</v>
      </c>
    </row>
    <row r="155" spans="1:6" x14ac:dyDescent="0.25">
      <c r="A155" s="6" t="s">
        <v>415</v>
      </c>
      <c r="B155" s="24"/>
      <c r="C155" s="8"/>
      <c r="D155" s="15"/>
      <c r="E155" s="17"/>
      <c r="F155" s="15"/>
    </row>
    <row r="156" spans="1:6" x14ac:dyDescent="0.25">
      <c r="A156" s="7"/>
      <c r="B156" s="24"/>
      <c r="C156" s="8">
        <f>-3-115</f>
        <v>-118</v>
      </c>
      <c r="D156" s="15"/>
      <c r="E156" s="17"/>
      <c r="F156" s="15"/>
    </row>
    <row r="157" spans="1:6" x14ac:dyDescent="0.25">
      <c r="A157" s="7"/>
      <c r="B157" s="24"/>
      <c r="C157" s="8"/>
      <c r="D157" s="15"/>
      <c r="E157" s="17"/>
      <c r="F157" s="15"/>
    </row>
    <row r="158" spans="1:6" x14ac:dyDescent="0.25">
      <c r="A158" s="7"/>
      <c r="B158" s="24"/>
      <c r="C158" s="8">
        <f>-3-115</f>
        <v>-118</v>
      </c>
      <c r="D158" s="15"/>
      <c r="E158" s="17"/>
      <c r="F158" s="15"/>
    </row>
    <row r="159" spans="1:6" x14ac:dyDescent="0.25">
      <c r="A159" s="9">
        <v>478</v>
      </c>
      <c r="B159" s="26">
        <v>7</v>
      </c>
      <c r="C159" s="12" t="s">
        <v>159</v>
      </c>
      <c r="D159" s="20" t="s">
        <v>418</v>
      </c>
      <c r="E159" s="21" t="s">
        <v>305</v>
      </c>
      <c r="F159" s="20">
        <v>145</v>
      </c>
    </row>
    <row r="160" spans="1:6" x14ac:dyDescent="0.25">
      <c r="A160" s="10" t="s">
        <v>416</v>
      </c>
      <c r="B160" s="26"/>
      <c r="C160" s="12"/>
      <c r="D160" s="20"/>
      <c r="E160" s="21"/>
      <c r="F160" s="20"/>
    </row>
    <row r="161" spans="1:6" x14ac:dyDescent="0.25">
      <c r="A161" s="11"/>
      <c r="B161" s="26"/>
      <c r="C161" s="12" t="s">
        <v>209</v>
      </c>
      <c r="D161" s="20"/>
      <c r="E161" s="21"/>
      <c r="F161" s="20"/>
    </row>
    <row r="162" spans="1:6" x14ac:dyDescent="0.25">
      <c r="A162" s="11"/>
      <c r="B162" s="26"/>
      <c r="C162" s="12"/>
      <c r="D162" s="20"/>
      <c r="E162" s="21"/>
      <c r="F162" s="20"/>
    </row>
    <row r="163" spans="1:6" x14ac:dyDescent="0.25">
      <c r="A163" s="11"/>
      <c r="B163" s="26"/>
      <c r="C163" s="12" t="s">
        <v>417</v>
      </c>
      <c r="D163" s="20"/>
      <c r="E163" s="21"/>
      <c r="F163" s="20"/>
    </row>
    <row r="164" spans="1:6" ht="37.5" x14ac:dyDescent="0.25">
      <c r="A164" s="22" t="s">
        <v>17</v>
      </c>
    </row>
    <row r="165" spans="1:6" ht="15.75" thickBot="1" x14ac:dyDescent="0.3">
      <c r="A165" s="3" t="s">
        <v>414</v>
      </c>
      <c r="B165" s="4"/>
      <c r="C165" s="4" t="s">
        <v>8</v>
      </c>
      <c r="D165" s="4" t="s">
        <v>9</v>
      </c>
      <c r="E165" s="4" t="s">
        <v>10</v>
      </c>
      <c r="F165" s="4" t="s">
        <v>11</v>
      </c>
    </row>
    <row r="166" spans="1:6" x14ac:dyDescent="0.25">
      <c r="A166" s="5">
        <v>479</v>
      </c>
      <c r="B166" s="14">
        <v>14</v>
      </c>
      <c r="C166" s="8" t="s">
        <v>420</v>
      </c>
      <c r="D166" s="18">
        <f>9.5-105</f>
        <v>-95.5</v>
      </c>
      <c r="E166" s="16" t="s">
        <v>420</v>
      </c>
      <c r="F166" s="18">
        <v>400</v>
      </c>
    </row>
    <row r="167" spans="1:6" x14ac:dyDescent="0.25">
      <c r="A167" s="6" t="s">
        <v>419</v>
      </c>
      <c r="B167" s="13"/>
      <c r="C167" s="8"/>
      <c r="D167" s="17"/>
      <c r="E167" s="15"/>
      <c r="F167" s="17"/>
    </row>
    <row r="168" spans="1:6" x14ac:dyDescent="0.25">
      <c r="A168" s="7"/>
      <c r="B168" s="13"/>
      <c r="C168" s="8" t="s">
        <v>420</v>
      </c>
      <c r="D168" s="17"/>
      <c r="E168" s="15"/>
      <c r="F168" s="17"/>
    </row>
    <row r="169" spans="1:6" x14ac:dyDescent="0.25">
      <c r="A169" s="7"/>
      <c r="B169" s="13"/>
      <c r="C169" s="8"/>
      <c r="D169" s="17"/>
      <c r="E169" s="15"/>
      <c r="F169" s="17"/>
    </row>
    <row r="170" spans="1:6" x14ac:dyDescent="0.25">
      <c r="A170" s="7"/>
      <c r="B170" s="13"/>
      <c r="C170" s="8" t="s">
        <v>420</v>
      </c>
      <c r="D170" s="17"/>
      <c r="E170" s="15"/>
      <c r="F170" s="17"/>
    </row>
    <row r="171" spans="1:6" x14ac:dyDescent="0.25">
      <c r="A171" s="9">
        <v>480</v>
      </c>
      <c r="B171" s="19">
        <v>31</v>
      </c>
      <c r="C171" s="12">
        <f>-9.5-115</f>
        <v>-124.5</v>
      </c>
      <c r="D171" s="21">
        <f>-9.5-115</f>
        <v>-124.5</v>
      </c>
      <c r="E171" s="20" t="s">
        <v>164</v>
      </c>
      <c r="F171" s="21">
        <v>-575</v>
      </c>
    </row>
    <row r="172" spans="1:6" x14ac:dyDescent="0.25">
      <c r="A172" s="10" t="s">
        <v>421</v>
      </c>
      <c r="B172" s="19"/>
      <c r="C172" s="12"/>
      <c r="D172" s="21"/>
      <c r="E172" s="20"/>
      <c r="F172" s="21"/>
    </row>
    <row r="173" spans="1:6" x14ac:dyDescent="0.25">
      <c r="A173" s="11"/>
      <c r="B173" s="19"/>
      <c r="C173" s="12">
        <f>-10-105</f>
        <v>-115</v>
      </c>
      <c r="D173" s="21"/>
      <c r="E173" s="20"/>
      <c r="F173" s="21"/>
    </row>
    <row r="174" spans="1:6" x14ac:dyDescent="0.25">
      <c r="A174" s="11"/>
      <c r="B174" s="19"/>
      <c r="C174" s="12"/>
      <c r="D174" s="21"/>
      <c r="E174" s="20"/>
      <c r="F174" s="21"/>
    </row>
    <row r="175" spans="1:6" x14ac:dyDescent="0.25">
      <c r="A175" s="11"/>
      <c r="B175" s="19"/>
      <c r="C175" s="12">
        <f>-9.5-115</f>
        <v>-124.5</v>
      </c>
      <c r="D175" s="21"/>
      <c r="E175" s="20"/>
      <c r="F175" s="21"/>
    </row>
    <row r="176" spans="1:6" ht="37.5" x14ac:dyDescent="0.25">
      <c r="A176" s="22" t="s">
        <v>17</v>
      </c>
    </row>
    <row r="177" spans="1:6" ht="15.75" thickBot="1" x14ac:dyDescent="0.3">
      <c r="A177" s="3" t="s">
        <v>422</v>
      </c>
      <c r="B177" s="4"/>
      <c r="C177" s="4" t="s">
        <v>8</v>
      </c>
      <c r="D177" s="4" t="s">
        <v>9</v>
      </c>
      <c r="E177" s="4" t="s">
        <v>10</v>
      </c>
      <c r="F177" s="4" t="s">
        <v>11</v>
      </c>
    </row>
    <row r="178" spans="1:6" x14ac:dyDescent="0.25">
      <c r="A178" s="5">
        <v>481</v>
      </c>
      <c r="B178" s="25">
        <v>27</v>
      </c>
      <c r="C178" s="8">
        <f>-6.5-105</f>
        <v>-111.5</v>
      </c>
      <c r="D178" s="18">
        <f>-6.5-105</f>
        <v>-111.5</v>
      </c>
      <c r="E178" s="16" t="s">
        <v>39</v>
      </c>
      <c r="F178" s="16">
        <v>-310</v>
      </c>
    </row>
    <row r="179" spans="1:6" x14ac:dyDescent="0.25">
      <c r="A179" s="6" t="s">
        <v>423</v>
      </c>
      <c r="B179" s="24"/>
      <c r="C179" s="8"/>
      <c r="D179" s="17"/>
      <c r="E179" s="15"/>
      <c r="F179" s="15"/>
    </row>
    <row r="180" spans="1:6" x14ac:dyDescent="0.25">
      <c r="A180" s="7"/>
      <c r="B180" s="24"/>
      <c r="C180" s="8">
        <f>-6.5-110</f>
        <v>-116.5</v>
      </c>
      <c r="D180" s="17"/>
      <c r="E180" s="15"/>
      <c r="F180" s="15"/>
    </row>
    <row r="181" spans="1:6" x14ac:dyDescent="0.25">
      <c r="A181" s="7"/>
      <c r="B181" s="24"/>
      <c r="C181" s="8"/>
      <c r="D181" s="17"/>
      <c r="E181" s="15"/>
      <c r="F181" s="15"/>
    </row>
    <row r="182" spans="1:6" x14ac:dyDescent="0.25">
      <c r="A182" s="7"/>
      <c r="B182" s="24"/>
      <c r="C182" s="8">
        <f>-6.5-105</f>
        <v>-111.5</v>
      </c>
      <c r="D182" s="17"/>
      <c r="E182" s="15"/>
      <c r="F182" s="15"/>
    </row>
    <row r="183" spans="1:6" x14ac:dyDescent="0.25">
      <c r="A183" s="9">
        <v>482</v>
      </c>
      <c r="B183" s="26">
        <v>26</v>
      </c>
      <c r="C183" s="12" t="s">
        <v>39</v>
      </c>
      <c r="D183" s="21">
        <f>6.5-115</f>
        <v>-108.5</v>
      </c>
      <c r="E183" s="20" t="s">
        <v>425</v>
      </c>
      <c r="F183" s="20">
        <v>245</v>
      </c>
    </row>
    <row r="184" spans="1:6" x14ac:dyDescent="0.25">
      <c r="A184" s="10" t="s">
        <v>424</v>
      </c>
      <c r="B184" s="26"/>
      <c r="C184" s="12"/>
      <c r="D184" s="21"/>
      <c r="E184" s="20"/>
      <c r="F184" s="20"/>
    </row>
    <row r="185" spans="1:6" x14ac:dyDescent="0.25">
      <c r="A185" s="11"/>
      <c r="B185" s="26"/>
      <c r="C185" s="12" t="s">
        <v>39</v>
      </c>
      <c r="D185" s="21"/>
      <c r="E185" s="20"/>
      <c r="F185" s="20"/>
    </row>
    <row r="186" spans="1:6" x14ac:dyDescent="0.25">
      <c r="A186" s="11"/>
      <c r="B186" s="26"/>
      <c r="C186" s="12"/>
      <c r="D186" s="21"/>
      <c r="E186" s="20"/>
      <c r="F186" s="20"/>
    </row>
    <row r="187" spans="1:6" x14ac:dyDescent="0.25">
      <c r="A187" s="11"/>
      <c r="B187" s="26"/>
      <c r="C187" s="12" t="s">
        <v>39</v>
      </c>
      <c r="D187" s="21"/>
      <c r="E187" s="20"/>
      <c r="F187" s="20"/>
    </row>
    <row r="188" spans="1:6" ht="38.25" thickBot="1" x14ac:dyDescent="0.3">
      <c r="A188" s="22" t="s">
        <v>17</v>
      </c>
    </row>
    <row r="189" spans="1:6" ht="56.25" x14ac:dyDescent="0.25">
      <c r="A189" s="27" t="s">
        <v>174</v>
      </c>
    </row>
    <row r="190" spans="1:6" ht="15.75" thickBot="1" x14ac:dyDescent="0.3">
      <c r="A190" s="3" t="s">
        <v>426</v>
      </c>
      <c r="B190" s="4"/>
      <c r="C190" s="4" t="s">
        <v>8</v>
      </c>
      <c r="D190" s="4" t="s">
        <v>9</v>
      </c>
      <c r="E190" s="4" t="s">
        <v>10</v>
      </c>
      <c r="F190" s="4" t="s">
        <v>11</v>
      </c>
    </row>
    <row r="191" spans="1:6" x14ac:dyDescent="0.25">
      <c r="A191" s="5">
        <v>483</v>
      </c>
      <c r="B191" s="14">
        <v>15</v>
      </c>
      <c r="C191" s="8" t="s">
        <v>30</v>
      </c>
      <c r="D191" s="18">
        <f>7-105</f>
        <v>-98</v>
      </c>
      <c r="E191" s="16" t="s">
        <v>30</v>
      </c>
      <c r="F191" s="18">
        <v>295</v>
      </c>
    </row>
    <row r="192" spans="1:6" x14ac:dyDescent="0.25">
      <c r="A192" s="6" t="s">
        <v>427</v>
      </c>
      <c r="B192" s="13"/>
      <c r="C192" s="8"/>
      <c r="D192" s="17"/>
      <c r="E192" s="15"/>
      <c r="F192" s="17"/>
    </row>
    <row r="193" spans="1:6" x14ac:dyDescent="0.25">
      <c r="A193" s="7"/>
      <c r="B193" s="13"/>
      <c r="C193" s="8" t="s">
        <v>428</v>
      </c>
      <c r="D193" s="17"/>
      <c r="E193" s="15"/>
      <c r="F193" s="17"/>
    </row>
    <row r="194" spans="1:6" x14ac:dyDescent="0.25">
      <c r="A194" s="7"/>
      <c r="B194" s="13"/>
      <c r="C194" s="8"/>
      <c r="D194" s="17"/>
      <c r="E194" s="15"/>
      <c r="F194" s="17"/>
    </row>
    <row r="195" spans="1:6" x14ac:dyDescent="0.25">
      <c r="A195" s="7"/>
      <c r="B195" s="13"/>
      <c r="C195" s="8" t="s">
        <v>428</v>
      </c>
      <c r="D195" s="17"/>
      <c r="E195" s="15"/>
      <c r="F195" s="17"/>
    </row>
    <row r="196" spans="1:6" x14ac:dyDescent="0.25">
      <c r="A196" s="9">
        <v>484</v>
      </c>
      <c r="B196" s="19">
        <v>33</v>
      </c>
      <c r="C196" s="12">
        <f>-7-115</f>
        <v>-122</v>
      </c>
      <c r="D196" s="21">
        <f>-7-115</f>
        <v>-122</v>
      </c>
      <c r="E196" s="20" t="s">
        <v>430</v>
      </c>
      <c r="F196" s="21">
        <v>-380</v>
      </c>
    </row>
    <row r="197" spans="1:6" x14ac:dyDescent="0.25">
      <c r="A197" s="10" t="s">
        <v>429</v>
      </c>
      <c r="B197" s="19"/>
      <c r="C197" s="12"/>
      <c r="D197" s="21"/>
      <c r="E197" s="20"/>
      <c r="F197" s="21"/>
    </row>
    <row r="198" spans="1:6" x14ac:dyDescent="0.25">
      <c r="A198" s="11"/>
      <c r="B198" s="19"/>
      <c r="C198" s="12">
        <f>-7-115</f>
        <v>-122</v>
      </c>
      <c r="D198" s="21"/>
      <c r="E198" s="20"/>
      <c r="F198" s="21"/>
    </row>
    <row r="199" spans="1:6" x14ac:dyDescent="0.25">
      <c r="A199" s="11"/>
      <c r="B199" s="19"/>
      <c r="C199" s="12"/>
      <c r="D199" s="21"/>
      <c r="E199" s="20"/>
      <c r="F199" s="21"/>
    </row>
    <row r="200" spans="1:6" x14ac:dyDescent="0.25">
      <c r="A200" s="11"/>
      <c r="B200" s="19"/>
      <c r="C200" s="12">
        <f>-7-120</f>
        <v>-127</v>
      </c>
      <c r="D200" s="21"/>
      <c r="E200" s="20"/>
      <c r="F200" s="21"/>
    </row>
  </sheetData>
  <mergeCells count="128">
    <mergeCell ref="B191:B195"/>
    <mergeCell ref="D191:D195"/>
    <mergeCell ref="E191:E195"/>
    <mergeCell ref="F191:F195"/>
    <mergeCell ref="B196:B200"/>
    <mergeCell ref="D196:D200"/>
    <mergeCell ref="E196:E200"/>
    <mergeCell ref="F196:F200"/>
    <mergeCell ref="B178:B182"/>
    <mergeCell ref="D178:D182"/>
    <mergeCell ref="E178:E182"/>
    <mergeCell ref="F178:F182"/>
    <mergeCell ref="B183:B187"/>
    <mergeCell ref="D183:D187"/>
    <mergeCell ref="E183:E187"/>
    <mergeCell ref="F183:F187"/>
    <mergeCell ref="B166:B170"/>
    <mergeCell ref="D166:D170"/>
    <mergeCell ref="E166:E170"/>
    <mergeCell ref="F166:F170"/>
    <mergeCell ref="B171:B175"/>
    <mergeCell ref="D171:D175"/>
    <mergeCell ref="E171:E175"/>
    <mergeCell ref="F171:F175"/>
    <mergeCell ref="B154:B158"/>
    <mergeCell ref="D154:D158"/>
    <mergeCell ref="E154:E158"/>
    <mergeCell ref="F154:F158"/>
    <mergeCell ref="B159:B163"/>
    <mergeCell ref="D159:D163"/>
    <mergeCell ref="E159:E163"/>
    <mergeCell ref="F159:F163"/>
    <mergeCell ref="B142:B146"/>
    <mergeCell ref="D142:D146"/>
    <mergeCell ref="E142:E146"/>
    <mergeCell ref="F142:F146"/>
    <mergeCell ref="B147:B151"/>
    <mergeCell ref="D147:D151"/>
    <mergeCell ref="E147:E151"/>
    <mergeCell ref="F147:F151"/>
    <mergeCell ref="B130:B134"/>
    <mergeCell ref="D130:D134"/>
    <mergeCell ref="E130:E134"/>
    <mergeCell ref="F130:F134"/>
    <mergeCell ref="B135:B139"/>
    <mergeCell ref="D135:D139"/>
    <mergeCell ref="E135:E139"/>
    <mergeCell ref="F135:F139"/>
    <mergeCell ref="B118:B122"/>
    <mergeCell ref="D118:D122"/>
    <mergeCell ref="E118:E122"/>
    <mergeCell ref="F118:F122"/>
    <mergeCell ref="B123:B127"/>
    <mergeCell ref="D123:D127"/>
    <mergeCell ref="E123:E127"/>
    <mergeCell ref="F123:F127"/>
    <mergeCell ref="B106:B110"/>
    <mergeCell ref="D106:D110"/>
    <mergeCell ref="E106:E110"/>
    <mergeCell ref="F106:F110"/>
    <mergeCell ref="B111:B115"/>
    <mergeCell ref="D111:D115"/>
    <mergeCell ref="E111:E115"/>
    <mergeCell ref="F111:F115"/>
    <mergeCell ref="B94:B98"/>
    <mergeCell ref="D94:D98"/>
    <mergeCell ref="E94:E98"/>
    <mergeCell ref="F94:F98"/>
    <mergeCell ref="B99:B103"/>
    <mergeCell ref="D99:D103"/>
    <mergeCell ref="E99:E103"/>
    <mergeCell ref="F99:F103"/>
    <mergeCell ref="B82:B86"/>
    <mergeCell ref="D82:D86"/>
    <mergeCell ref="E82:E86"/>
    <mergeCell ref="F82:F86"/>
    <mergeCell ref="B87:B91"/>
    <mergeCell ref="D87:D91"/>
    <mergeCell ref="E87:E91"/>
    <mergeCell ref="F87:F91"/>
    <mergeCell ref="B70:B74"/>
    <mergeCell ref="D70:D74"/>
    <mergeCell ref="E70:E74"/>
    <mergeCell ref="F70:F74"/>
    <mergeCell ref="B75:B79"/>
    <mergeCell ref="D75:D79"/>
    <mergeCell ref="E75:E79"/>
    <mergeCell ref="F75:F79"/>
    <mergeCell ref="B58:B62"/>
    <mergeCell ref="D58:D62"/>
    <mergeCell ref="E58:E62"/>
    <mergeCell ref="F58:F62"/>
    <mergeCell ref="B63:B67"/>
    <mergeCell ref="D63:D67"/>
    <mergeCell ref="E63:E67"/>
    <mergeCell ref="F63:F67"/>
    <mergeCell ref="B46:B50"/>
    <mergeCell ref="D46:D50"/>
    <mergeCell ref="E46:E50"/>
    <mergeCell ref="F46:F50"/>
    <mergeCell ref="B51:B55"/>
    <mergeCell ref="D51:D55"/>
    <mergeCell ref="E51:E55"/>
    <mergeCell ref="F51:F55"/>
    <mergeCell ref="B34:B38"/>
    <mergeCell ref="D34:D38"/>
    <mergeCell ref="E34:E38"/>
    <mergeCell ref="F34:F38"/>
    <mergeCell ref="B39:B43"/>
    <mergeCell ref="D39:D43"/>
    <mergeCell ref="E39:E43"/>
    <mergeCell ref="F39:F43"/>
    <mergeCell ref="B22:B26"/>
    <mergeCell ref="D22:D26"/>
    <mergeCell ref="E22:E26"/>
    <mergeCell ref="F22:F26"/>
    <mergeCell ref="B27:B31"/>
    <mergeCell ref="D27:D31"/>
    <mergeCell ref="E27:E31"/>
    <mergeCell ref="F27:F31"/>
    <mergeCell ref="B9:B13"/>
    <mergeCell ref="D9:D13"/>
    <mergeCell ref="E9:E13"/>
    <mergeCell ref="F9:F13"/>
    <mergeCell ref="B14:B18"/>
    <mergeCell ref="D14:D18"/>
    <mergeCell ref="E14:E18"/>
    <mergeCell ref="F14:F18"/>
  </mergeCells>
  <hyperlinks>
    <hyperlink ref="A2" r:id="rId1" display="https://www.scoresandodds.com/nfl/odds" xr:uid="{088427BD-E0C3-46CD-B12B-A5422CA8DE13}"/>
    <hyperlink ref="A3" r:id="rId2" display="https://www.scoresandodds.com/nfl/consensus-picks" xr:uid="{8057D21E-1B0C-4A58-843F-C497A707A5CE}"/>
    <hyperlink ref="A4" r:id="rId3" display="https://www.scoresandodds.com/nfl/more-lines" xr:uid="{3C43B542-270A-4680-8EF3-8CE413564754}"/>
    <hyperlink ref="A5" r:id="rId4" display="https://www.scoresandodds.com/nfl/props" xr:uid="{289418BD-26A7-412A-8AE2-7C6A8B9CE739}"/>
    <hyperlink ref="A6" r:id="rId5" display="https://www.scoresandodds.com/nfl/parlays" xr:uid="{E2880B2E-F41C-4D65-BFE5-DA997B508548}"/>
    <hyperlink ref="A7" r:id="rId6" display="https://www.scoresandodds.com/nfl/picks" xr:uid="{B918103F-765D-4D20-A9A4-4BD64EBCD75A}"/>
    <hyperlink ref="A10" r:id="rId7" display="https://www.scoresandodds.com/nfl/teams/packers" xr:uid="{C3744241-8348-4591-AC85-3102BC6CB4E7}"/>
    <hyperlink ref="A15" r:id="rId8" display="https://www.scoresandodds.com/nfl/teams/lions" xr:uid="{90608CE2-2E8F-49B5-A4B6-704DA99E8BF7}"/>
    <hyperlink ref="A23" r:id="rId9" display="https://www.scoresandodds.com/nfl/teams/chiefs" xr:uid="{14F3EF99-00CA-4EC2-AEDC-CDB8732F0FE5}"/>
    <hyperlink ref="A28" r:id="rId10" display="https://www.scoresandodds.com/nfl/teams/cowboys" xr:uid="{D7DAAD68-4F42-46C4-8BD6-A18491DB5A0C}"/>
    <hyperlink ref="A35" r:id="rId11" display="https://www.scoresandodds.com/nfl/teams/bengals" xr:uid="{1B68A1B4-4463-45FA-A744-C40E4C483517}"/>
    <hyperlink ref="A40" r:id="rId12" display="https://www.scoresandodds.com/nfl/teams/ravens" xr:uid="{9761989C-DD58-4B76-B377-3CCB84957C93}"/>
    <hyperlink ref="A47" r:id="rId13" display="https://www.scoresandodds.com/nfl/teams/bears" xr:uid="{B8444385-2974-4004-87AA-6DD72D4F28E4}"/>
    <hyperlink ref="A52" r:id="rId14" display="https://www.scoresandodds.com/nfl/teams/eagles" xr:uid="{285CBAD7-23AD-408E-B281-41162267C658}"/>
    <hyperlink ref="A59" r:id="rId15" display="https://www.scoresandodds.com/nfl/teams/saints" xr:uid="{18864743-49CF-496F-A0FF-ABEF3B0C0215}"/>
    <hyperlink ref="A64" r:id="rId16" display="https://www.scoresandodds.com/nfl/teams/dolphins" xr:uid="{DAA4E5E8-DDAF-49C6-A0F0-744BF4497F11}"/>
    <hyperlink ref="A71" r:id="rId17" display="https://www.scoresandodds.com/nfl/teams/rams" xr:uid="{C7EAF1C3-5300-4496-B185-7C6FA9A93DCA}"/>
    <hyperlink ref="A76" r:id="rId18" display="https://www.scoresandodds.com/nfl/teams/panthers" xr:uid="{2C3C9503-68F1-411B-9615-8EC1CE93BDC5}"/>
    <hyperlink ref="A83" r:id="rId19" display="https://www.scoresandodds.com/nfl/teams/falcons" xr:uid="{E31A9766-0C84-40C4-973C-413C10324CD4}"/>
    <hyperlink ref="A88" r:id="rId20" display="https://www.scoresandodds.com/nfl/teams/jets" xr:uid="{557A4943-8FFB-46D3-AAE5-9E33FA680903}"/>
    <hyperlink ref="A95" r:id="rId21" display="https://www.scoresandodds.com/nfl/teams/49ers" xr:uid="{4ACF5EA3-9EA7-4DB7-9944-1CD4C3F542C8}"/>
    <hyperlink ref="A100" r:id="rId22" display="https://www.scoresandodds.com/nfl/teams/browns" xr:uid="{F82621F5-D9F2-43D8-9712-8A793F55CE52}"/>
    <hyperlink ref="A107" r:id="rId23" display="https://www.scoresandodds.com/nfl/teams/jaguars" xr:uid="{9B684806-E282-4344-A6B3-1ECBC8D2E409}"/>
    <hyperlink ref="A112" r:id="rId24" display="https://www.scoresandodds.com/nfl/teams/titans" xr:uid="{AB904E71-8959-426B-B08D-BDEFDBCF83F6}"/>
    <hyperlink ref="A119" r:id="rId25" display="https://www.scoresandodds.com/nfl/teams/cardinals" xr:uid="{C2D82EEE-611C-425F-9786-432DF671D307}"/>
    <hyperlink ref="A124" r:id="rId26" display="https://www.scoresandodds.com/nfl/teams/buccaneers" xr:uid="{DFEE5486-64C1-422F-BE49-E4A69DF91206}"/>
    <hyperlink ref="A131" r:id="rId27" display="https://www.scoresandodds.com/nfl/teams/texans" xr:uid="{CFE2F6AC-D92C-41B0-A40E-A48945ECBAC5}"/>
    <hyperlink ref="A136" r:id="rId28" display="https://www.scoresandodds.com/nfl/teams/colts" xr:uid="{CE2C629F-0865-47B5-90A0-D29FDBB8A9CC}"/>
    <hyperlink ref="A143" r:id="rId29" display="https://www.scoresandodds.com/nfl/teams/vikings" xr:uid="{B8FB55E2-B243-429A-84F6-DA4B6646EAA8}"/>
    <hyperlink ref="A148" r:id="rId30" display="https://www.scoresandodds.com/nfl/teams/seahawks" xr:uid="{DA66CBC6-626C-44AE-9123-55FAD9406DF4}"/>
    <hyperlink ref="A155" r:id="rId31" display="https://www.scoresandodds.com/nfl/teams/bills" xr:uid="{5B95226B-2B0F-4418-ADFF-BE9B0D70BB79}"/>
    <hyperlink ref="A160" r:id="rId32" display="https://www.scoresandodds.com/nfl/teams/steelers" xr:uid="{A685818A-DF01-47D8-83EE-F58C6DC0D115}"/>
    <hyperlink ref="A167" r:id="rId33" display="https://www.scoresandodds.com/nfl/teams/raiders" xr:uid="{30035DCB-6D15-44A6-8C86-924152E60425}"/>
    <hyperlink ref="A172" r:id="rId34" display="https://www.scoresandodds.com/nfl/teams/chargers" xr:uid="{9E47AEA0-6399-4774-990A-900A3C4E52C6}"/>
    <hyperlink ref="A179" r:id="rId35" display="https://www.scoresandodds.com/nfl/teams/broncos" xr:uid="{4D2BDA0C-D697-45AB-AF0E-4E766373D48E}"/>
    <hyperlink ref="A184" r:id="rId36" display="https://www.scoresandodds.com/nfl/teams/commanders" xr:uid="{DD22050F-A581-481E-9D63-24A090D47C05}"/>
    <hyperlink ref="A192" r:id="rId37" display="https://www.scoresandodds.com/nfl/teams/giants" xr:uid="{D889C5E5-8FD4-409E-A26A-6DC5740D639A}"/>
    <hyperlink ref="A197" r:id="rId38" display="https://www.scoresandodds.com/nfl/teams/patriots" xr:uid="{7422518A-3E19-4368-AFF8-E10ECBBE7523}"/>
  </hyperlinks>
  <pageMargins left="0.7" right="0.7" top="0.75" bottom="0.75" header="0.3" footer="0.3"/>
  <drawing r:id="rId39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831-7D18-4C23-8824-1975A4746868}">
  <dimension ref="A1:F177"/>
  <sheetViews>
    <sheetView workbookViewId="0">
      <selection sqref="A1:F177"/>
    </sheetView>
  </sheetViews>
  <sheetFormatPr baseColWidth="10" defaultRowHeight="15" x14ac:dyDescent="0.25"/>
  <cols>
    <col min="1" max="1" width="70.5703125" bestFit="1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3" spans="1:6" x14ac:dyDescent="0.25">
      <c r="A3" s="2" t="s">
        <v>2</v>
      </c>
    </row>
    <row r="4" spans="1:6" x14ac:dyDescent="0.25">
      <c r="A4" s="2" t="s">
        <v>3</v>
      </c>
    </row>
    <row r="5" spans="1:6" x14ac:dyDescent="0.25">
      <c r="A5" s="2" t="s">
        <v>4</v>
      </c>
    </row>
    <row r="6" spans="1:6" x14ac:dyDescent="0.25">
      <c r="A6" s="2" t="s">
        <v>5</v>
      </c>
    </row>
    <row r="7" spans="1:6" x14ac:dyDescent="0.25">
      <c r="A7" s="2" t="s">
        <v>6</v>
      </c>
    </row>
    <row r="8" spans="1:6" ht="15.75" thickBot="1" x14ac:dyDescent="0.3">
      <c r="A8" s="3" t="s">
        <v>319</v>
      </c>
      <c r="B8" s="4"/>
      <c r="C8" s="4" t="s">
        <v>8</v>
      </c>
      <c r="D8" s="4" t="s">
        <v>9</v>
      </c>
      <c r="E8" s="4" t="s">
        <v>10</v>
      </c>
      <c r="F8" s="4" t="s">
        <v>11</v>
      </c>
    </row>
    <row r="9" spans="1:6" x14ac:dyDescent="0.25">
      <c r="A9" s="5">
        <v>101</v>
      </c>
      <c r="B9" s="14">
        <v>30</v>
      </c>
      <c r="C9" s="8" t="s">
        <v>321</v>
      </c>
      <c r="D9" s="18">
        <f>3.5-110</f>
        <v>-106.5</v>
      </c>
      <c r="E9" s="16" t="s">
        <v>321</v>
      </c>
      <c r="F9" s="18">
        <v>154</v>
      </c>
    </row>
    <row r="10" spans="1:6" x14ac:dyDescent="0.25">
      <c r="A10" s="6" t="s">
        <v>320</v>
      </c>
      <c r="B10" s="13"/>
      <c r="C10" s="8"/>
      <c r="D10" s="17"/>
      <c r="E10" s="15"/>
      <c r="F10" s="17"/>
    </row>
    <row r="11" spans="1:6" x14ac:dyDescent="0.25">
      <c r="A11" s="7"/>
      <c r="B11" s="13"/>
      <c r="C11" s="8" t="s">
        <v>321</v>
      </c>
      <c r="D11" s="17"/>
      <c r="E11" s="15"/>
      <c r="F11" s="17"/>
    </row>
    <row r="12" spans="1:6" x14ac:dyDescent="0.25">
      <c r="A12" s="7"/>
      <c r="B12" s="13"/>
      <c r="C12" s="8"/>
      <c r="D12" s="17"/>
      <c r="E12" s="15"/>
      <c r="F12" s="17"/>
    </row>
    <row r="13" spans="1:6" x14ac:dyDescent="0.25">
      <c r="A13" s="7"/>
      <c r="B13" s="13"/>
      <c r="C13" s="8" t="s">
        <v>322</v>
      </c>
      <c r="D13" s="17"/>
      <c r="E13" s="15"/>
      <c r="F13" s="17"/>
    </row>
    <row r="14" spans="1:6" x14ac:dyDescent="0.25">
      <c r="A14" s="9">
        <v>102</v>
      </c>
      <c r="B14" s="19">
        <v>44</v>
      </c>
      <c r="C14" s="12">
        <f>-3.5-110</f>
        <v>-113.5</v>
      </c>
      <c r="D14" s="21">
        <f>-3.5-110</f>
        <v>-113.5</v>
      </c>
      <c r="E14" s="20" t="s">
        <v>324</v>
      </c>
      <c r="F14" s="21">
        <v>-185</v>
      </c>
    </row>
    <row r="15" spans="1:6" x14ac:dyDescent="0.25">
      <c r="A15" s="10" t="s">
        <v>323</v>
      </c>
      <c r="B15" s="19"/>
      <c r="C15" s="12"/>
      <c r="D15" s="21"/>
      <c r="E15" s="20"/>
      <c r="F15" s="21"/>
    </row>
    <row r="16" spans="1:6" x14ac:dyDescent="0.25">
      <c r="A16" s="11"/>
      <c r="B16" s="19"/>
      <c r="C16" s="12" t="s">
        <v>211</v>
      </c>
      <c r="D16" s="21"/>
      <c r="E16" s="20"/>
      <c r="F16" s="21"/>
    </row>
    <row r="17" spans="1:6" x14ac:dyDescent="0.25">
      <c r="A17" s="11"/>
      <c r="B17" s="19"/>
      <c r="C17" s="12"/>
      <c r="D17" s="21"/>
      <c r="E17" s="20"/>
      <c r="F17" s="21"/>
    </row>
    <row r="18" spans="1:6" x14ac:dyDescent="0.25">
      <c r="A18" s="11"/>
      <c r="B18" s="19"/>
      <c r="C18" s="12" t="s">
        <v>211</v>
      </c>
      <c r="D18" s="21"/>
      <c r="E18" s="20"/>
      <c r="F18" s="21"/>
    </row>
    <row r="19" spans="1:6" ht="38.25" thickBot="1" x14ac:dyDescent="0.3">
      <c r="A19" s="22" t="s">
        <v>17</v>
      </c>
    </row>
    <row r="20" spans="1:6" ht="67.5" x14ac:dyDescent="0.25">
      <c r="A20" s="27" t="s">
        <v>116</v>
      </c>
    </row>
    <row r="21" spans="1:6" x14ac:dyDescent="0.25">
      <c r="A21" s="23" t="s">
        <v>102</v>
      </c>
    </row>
    <row r="22" spans="1:6" ht="15.75" thickBot="1" x14ac:dyDescent="0.3">
      <c r="A22" s="3" t="s">
        <v>325</v>
      </c>
      <c r="B22" s="4"/>
      <c r="C22" s="4" t="s">
        <v>8</v>
      </c>
      <c r="D22" s="4" t="s">
        <v>9</v>
      </c>
      <c r="E22" s="4" t="s">
        <v>10</v>
      </c>
      <c r="F22" s="4" t="s">
        <v>11</v>
      </c>
    </row>
    <row r="23" spans="1:6" x14ac:dyDescent="0.25">
      <c r="A23" s="5">
        <v>131</v>
      </c>
      <c r="B23" s="14">
        <v>19</v>
      </c>
      <c r="C23" s="8">
        <f>-2.5-112</f>
        <v>-114.5</v>
      </c>
      <c r="D23" s="18">
        <f>-2.5-112</f>
        <v>-114.5</v>
      </c>
      <c r="E23" s="16" t="s">
        <v>167</v>
      </c>
      <c r="F23" s="18">
        <v>-135</v>
      </c>
    </row>
    <row r="24" spans="1:6" x14ac:dyDescent="0.25">
      <c r="A24" s="6" t="s">
        <v>326</v>
      </c>
      <c r="B24" s="13"/>
      <c r="C24" s="8"/>
      <c r="D24" s="17"/>
      <c r="E24" s="15"/>
      <c r="F24" s="17"/>
    </row>
    <row r="25" spans="1:6" x14ac:dyDescent="0.25">
      <c r="A25" s="7"/>
      <c r="B25" s="13"/>
      <c r="C25" s="8">
        <f>-2.5-108</f>
        <v>-110.5</v>
      </c>
      <c r="D25" s="17"/>
      <c r="E25" s="15"/>
      <c r="F25" s="17"/>
    </row>
    <row r="26" spans="1:6" x14ac:dyDescent="0.25">
      <c r="A26" s="7"/>
      <c r="B26" s="13"/>
      <c r="C26" s="8"/>
      <c r="D26" s="17"/>
      <c r="E26" s="15"/>
      <c r="F26" s="17"/>
    </row>
    <row r="27" spans="1:6" x14ac:dyDescent="0.25">
      <c r="A27" s="7"/>
      <c r="B27" s="13"/>
      <c r="C27" s="8">
        <f>-1.5-115</f>
        <v>-116.5</v>
      </c>
      <c r="D27" s="17"/>
      <c r="E27" s="15"/>
      <c r="F27" s="17"/>
    </row>
    <row r="28" spans="1:6" x14ac:dyDescent="0.25">
      <c r="A28" s="9">
        <v>132</v>
      </c>
      <c r="B28" s="19">
        <v>36</v>
      </c>
      <c r="C28" s="12" t="s">
        <v>328</v>
      </c>
      <c r="D28" s="21">
        <f>2.5-108</f>
        <v>-105.5</v>
      </c>
      <c r="E28" s="20" t="s">
        <v>328</v>
      </c>
      <c r="F28" s="21">
        <v>114</v>
      </c>
    </row>
    <row r="29" spans="1:6" x14ac:dyDescent="0.25">
      <c r="A29" s="10" t="s">
        <v>327</v>
      </c>
      <c r="B29" s="19"/>
      <c r="C29" s="12"/>
      <c r="D29" s="21"/>
      <c r="E29" s="20"/>
      <c r="F29" s="21"/>
    </row>
    <row r="30" spans="1:6" x14ac:dyDescent="0.25">
      <c r="A30" s="11"/>
      <c r="B30" s="19"/>
      <c r="C30" s="12" t="s">
        <v>106</v>
      </c>
      <c r="D30" s="21"/>
      <c r="E30" s="20"/>
      <c r="F30" s="21"/>
    </row>
    <row r="31" spans="1:6" x14ac:dyDescent="0.25">
      <c r="A31" s="11"/>
      <c r="B31" s="19"/>
      <c r="C31" s="12"/>
      <c r="D31" s="21"/>
      <c r="E31" s="20"/>
      <c r="F31" s="21"/>
    </row>
    <row r="32" spans="1:6" x14ac:dyDescent="0.25">
      <c r="A32" s="11"/>
      <c r="B32" s="19"/>
      <c r="C32" s="12" t="s">
        <v>106</v>
      </c>
      <c r="D32" s="21"/>
      <c r="E32" s="20"/>
      <c r="F32" s="21"/>
    </row>
    <row r="33" spans="1:6" ht="37.5" x14ac:dyDescent="0.25">
      <c r="A33" s="22" t="s">
        <v>17</v>
      </c>
    </row>
    <row r="34" spans="1:6" ht="15.75" thickBot="1" x14ac:dyDescent="0.3">
      <c r="A34" s="3" t="s">
        <v>325</v>
      </c>
      <c r="B34" s="4"/>
      <c r="C34" s="4" t="s">
        <v>8</v>
      </c>
      <c r="D34" s="4" t="s">
        <v>9</v>
      </c>
      <c r="E34" s="4" t="s">
        <v>10</v>
      </c>
      <c r="F34" s="4" t="s">
        <v>11</v>
      </c>
    </row>
    <row r="35" spans="1:6" x14ac:dyDescent="0.25">
      <c r="A35" s="5">
        <v>125</v>
      </c>
      <c r="B35" s="25">
        <v>31</v>
      </c>
      <c r="C35" s="8" t="s">
        <v>330</v>
      </c>
      <c r="D35" s="16">
        <f>4.5-118</f>
        <v>-113.5</v>
      </c>
      <c r="E35" s="16" t="s">
        <v>332</v>
      </c>
      <c r="F35" s="16">
        <v>170</v>
      </c>
    </row>
    <row r="36" spans="1:6" x14ac:dyDescent="0.25">
      <c r="A36" s="6" t="s">
        <v>329</v>
      </c>
      <c r="B36" s="24"/>
      <c r="C36" s="8"/>
      <c r="D36" s="15"/>
      <c r="E36" s="15"/>
      <c r="F36" s="15"/>
    </row>
    <row r="37" spans="1:6" x14ac:dyDescent="0.25">
      <c r="A37" s="7"/>
      <c r="B37" s="24"/>
      <c r="C37" s="8" t="s">
        <v>331</v>
      </c>
      <c r="D37" s="15"/>
      <c r="E37" s="15"/>
      <c r="F37" s="15"/>
    </row>
    <row r="38" spans="1:6" x14ac:dyDescent="0.25">
      <c r="A38" s="7"/>
      <c r="B38" s="24"/>
      <c r="C38" s="8"/>
      <c r="D38" s="15"/>
      <c r="E38" s="15"/>
      <c r="F38" s="15"/>
    </row>
    <row r="39" spans="1:6" x14ac:dyDescent="0.25">
      <c r="A39" s="7"/>
      <c r="B39" s="24"/>
      <c r="C39" s="8" t="s">
        <v>331</v>
      </c>
      <c r="D39" s="15"/>
      <c r="E39" s="15"/>
      <c r="F39" s="15"/>
    </row>
    <row r="40" spans="1:6" x14ac:dyDescent="0.25">
      <c r="A40" s="9">
        <v>126</v>
      </c>
      <c r="B40" s="26">
        <v>29</v>
      </c>
      <c r="C40" s="12">
        <f>-4.5-102</f>
        <v>-106.5</v>
      </c>
      <c r="D40" s="20">
        <f>-4.5-102</f>
        <v>-106.5</v>
      </c>
      <c r="E40" s="20" t="s">
        <v>330</v>
      </c>
      <c r="F40" s="20">
        <v>-205</v>
      </c>
    </row>
    <row r="41" spans="1:6" x14ac:dyDescent="0.25">
      <c r="A41" s="10" t="s">
        <v>333</v>
      </c>
      <c r="B41" s="26"/>
      <c r="C41" s="12"/>
      <c r="D41" s="20"/>
      <c r="E41" s="20"/>
      <c r="F41" s="20"/>
    </row>
    <row r="42" spans="1:6" x14ac:dyDescent="0.25">
      <c r="A42" s="11"/>
      <c r="B42" s="26"/>
      <c r="C42" s="12">
        <f>-4.5-102</f>
        <v>-106.5</v>
      </c>
      <c r="D42" s="20"/>
      <c r="E42" s="20"/>
      <c r="F42" s="20"/>
    </row>
    <row r="43" spans="1:6" x14ac:dyDescent="0.25">
      <c r="A43" s="11"/>
      <c r="B43" s="26"/>
      <c r="C43" s="12"/>
      <c r="D43" s="20"/>
      <c r="E43" s="20"/>
      <c r="F43" s="20"/>
    </row>
    <row r="44" spans="1:6" x14ac:dyDescent="0.25">
      <c r="A44" s="11"/>
      <c r="B44" s="26"/>
      <c r="C44" s="12">
        <f>-4.5-102</f>
        <v>-106.5</v>
      </c>
      <c r="D44" s="20"/>
      <c r="E44" s="20"/>
      <c r="F44" s="20"/>
    </row>
    <row r="45" spans="1:6" ht="37.5" x14ac:dyDescent="0.25">
      <c r="A45" s="22" t="s">
        <v>17</v>
      </c>
    </row>
    <row r="46" spans="1:6" ht="15.75" thickBot="1" x14ac:dyDescent="0.3">
      <c r="A46" s="3" t="s">
        <v>325</v>
      </c>
      <c r="B46" s="4"/>
      <c r="C46" s="4" t="s">
        <v>8</v>
      </c>
      <c r="D46" s="4" t="s">
        <v>9</v>
      </c>
      <c r="E46" s="4" t="s">
        <v>10</v>
      </c>
      <c r="F46" s="4" t="s">
        <v>11</v>
      </c>
    </row>
    <row r="47" spans="1:6" x14ac:dyDescent="0.25">
      <c r="A47" s="5">
        <v>121</v>
      </c>
      <c r="B47" s="14">
        <v>0</v>
      </c>
      <c r="C47" s="8" t="s">
        <v>88</v>
      </c>
      <c r="D47" s="18">
        <f>1.5-118</f>
        <v>-116.5</v>
      </c>
      <c r="E47" s="18" t="s">
        <v>88</v>
      </c>
      <c r="F47" s="18">
        <v>-105</v>
      </c>
    </row>
    <row r="48" spans="1:6" x14ac:dyDescent="0.25">
      <c r="A48" s="6" t="s">
        <v>334</v>
      </c>
      <c r="B48" s="13"/>
      <c r="C48" s="8"/>
      <c r="D48" s="17"/>
      <c r="E48" s="17"/>
      <c r="F48" s="17"/>
    </row>
    <row r="49" spans="1:6" x14ac:dyDescent="0.25">
      <c r="A49" s="7"/>
      <c r="B49" s="13"/>
      <c r="C49" s="8" t="s">
        <v>88</v>
      </c>
      <c r="D49" s="17"/>
      <c r="E49" s="17"/>
      <c r="F49" s="17"/>
    </row>
    <row r="50" spans="1:6" x14ac:dyDescent="0.25">
      <c r="A50" s="7"/>
      <c r="B50" s="13"/>
      <c r="C50" s="8"/>
      <c r="D50" s="17"/>
      <c r="E50" s="17"/>
      <c r="F50" s="17"/>
    </row>
    <row r="51" spans="1:6" x14ac:dyDescent="0.25">
      <c r="A51" s="7"/>
      <c r="B51" s="13"/>
      <c r="C51" s="8" t="s">
        <v>88</v>
      </c>
      <c r="D51" s="17"/>
      <c r="E51" s="17"/>
      <c r="F51" s="17"/>
    </row>
    <row r="52" spans="1:6" x14ac:dyDescent="0.25">
      <c r="A52" s="9">
        <v>122</v>
      </c>
      <c r="B52" s="19">
        <v>31</v>
      </c>
      <c r="C52" s="12">
        <f>-1.5-102</f>
        <v>-103.5</v>
      </c>
      <c r="D52" s="21">
        <f>-1.5-102</f>
        <v>-103.5</v>
      </c>
      <c r="E52" s="21" t="s">
        <v>336</v>
      </c>
      <c r="F52" s="21">
        <v>-115</v>
      </c>
    </row>
    <row r="53" spans="1:6" x14ac:dyDescent="0.25">
      <c r="A53" s="10" t="s">
        <v>335</v>
      </c>
      <c r="B53" s="19"/>
      <c r="C53" s="12"/>
      <c r="D53" s="21"/>
      <c r="E53" s="21"/>
      <c r="F53" s="21"/>
    </row>
    <row r="54" spans="1:6" x14ac:dyDescent="0.25">
      <c r="A54" s="11"/>
      <c r="B54" s="19"/>
      <c r="C54" s="12">
        <f>1.5+102</f>
        <v>103.5</v>
      </c>
      <c r="D54" s="21"/>
      <c r="E54" s="21"/>
      <c r="F54" s="21"/>
    </row>
    <row r="55" spans="1:6" x14ac:dyDescent="0.25">
      <c r="A55" s="11"/>
      <c r="B55" s="19"/>
      <c r="C55" s="12"/>
      <c r="D55" s="21"/>
      <c r="E55" s="21"/>
      <c r="F55" s="21"/>
    </row>
    <row r="56" spans="1:6" x14ac:dyDescent="0.25">
      <c r="A56" s="11"/>
      <c r="B56" s="19"/>
      <c r="C56" s="12">
        <f>1.5+102</f>
        <v>103.5</v>
      </c>
      <c r="D56" s="21"/>
      <c r="E56" s="21"/>
      <c r="F56" s="21"/>
    </row>
    <row r="57" spans="1:6" ht="37.5" x14ac:dyDescent="0.25">
      <c r="A57" s="22" t="s">
        <v>17</v>
      </c>
    </row>
    <row r="58" spans="1:6" ht="15.75" thickBot="1" x14ac:dyDescent="0.3">
      <c r="A58" s="3" t="s">
        <v>325</v>
      </c>
      <c r="B58" s="4"/>
      <c r="C58" s="4" t="s">
        <v>8</v>
      </c>
      <c r="D58" s="4" t="s">
        <v>9</v>
      </c>
      <c r="E58" s="4" t="s">
        <v>10</v>
      </c>
      <c r="F58" s="4" t="s">
        <v>11</v>
      </c>
    </row>
    <row r="59" spans="1:6" x14ac:dyDescent="0.25">
      <c r="A59" s="5">
        <v>141</v>
      </c>
      <c r="B59" s="14">
        <v>34</v>
      </c>
      <c r="C59" s="8" t="s">
        <v>338</v>
      </c>
      <c r="D59" s="16">
        <f>6-108</f>
        <v>-102</v>
      </c>
      <c r="E59" s="16" t="s">
        <v>338</v>
      </c>
      <c r="F59" s="18">
        <v>230</v>
      </c>
    </row>
    <row r="60" spans="1:6" x14ac:dyDescent="0.25">
      <c r="A60" s="6" t="s">
        <v>337</v>
      </c>
      <c r="B60" s="13"/>
      <c r="C60" s="8"/>
      <c r="D60" s="15"/>
      <c r="E60" s="15"/>
      <c r="F60" s="17"/>
    </row>
    <row r="61" spans="1:6" x14ac:dyDescent="0.25">
      <c r="A61" s="7"/>
      <c r="B61" s="13"/>
      <c r="C61" s="8" t="s">
        <v>338</v>
      </c>
      <c r="D61" s="15"/>
      <c r="E61" s="15"/>
      <c r="F61" s="17"/>
    </row>
    <row r="62" spans="1:6" x14ac:dyDescent="0.25">
      <c r="A62" s="7"/>
      <c r="B62" s="13"/>
      <c r="C62" s="8"/>
      <c r="D62" s="15"/>
      <c r="E62" s="15"/>
      <c r="F62" s="17"/>
    </row>
    <row r="63" spans="1:6" x14ac:dyDescent="0.25">
      <c r="A63" s="7"/>
      <c r="B63" s="13"/>
      <c r="C63" s="8" t="s">
        <v>296</v>
      </c>
      <c r="D63" s="15"/>
      <c r="E63" s="15"/>
      <c r="F63" s="17"/>
    </row>
    <row r="64" spans="1:6" x14ac:dyDescent="0.25">
      <c r="A64" s="9">
        <v>142</v>
      </c>
      <c r="B64" s="19">
        <v>39</v>
      </c>
      <c r="C64" s="12">
        <f>-6-112</f>
        <v>-118</v>
      </c>
      <c r="D64" s="20">
        <f>-6-112</f>
        <v>-118</v>
      </c>
      <c r="E64" s="20" t="s">
        <v>340</v>
      </c>
      <c r="F64" s="21">
        <v>-285</v>
      </c>
    </row>
    <row r="65" spans="1:6" x14ac:dyDescent="0.25">
      <c r="A65" s="10" t="s">
        <v>339</v>
      </c>
      <c r="B65" s="19"/>
      <c r="C65" s="12"/>
      <c r="D65" s="20"/>
      <c r="E65" s="20"/>
      <c r="F65" s="21"/>
    </row>
    <row r="66" spans="1:6" x14ac:dyDescent="0.25">
      <c r="A66" s="11"/>
      <c r="B66" s="19"/>
      <c r="C66" s="12">
        <f>-6.5-108</f>
        <v>-114.5</v>
      </c>
      <c r="D66" s="20"/>
      <c r="E66" s="20"/>
      <c r="F66" s="21"/>
    </row>
    <row r="67" spans="1:6" x14ac:dyDescent="0.25">
      <c r="A67" s="11"/>
      <c r="B67" s="19"/>
      <c r="C67" s="12"/>
      <c r="D67" s="20"/>
      <c r="E67" s="20"/>
      <c r="F67" s="21"/>
    </row>
    <row r="68" spans="1:6" x14ac:dyDescent="0.25">
      <c r="A68" s="11"/>
      <c r="B68" s="19"/>
      <c r="C68" s="12">
        <f>-6.5-108</f>
        <v>-114.5</v>
      </c>
      <c r="D68" s="20"/>
      <c r="E68" s="20"/>
      <c r="F68" s="21"/>
    </row>
    <row r="69" spans="1:6" ht="37.5" x14ac:dyDescent="0.25">
      <c r="A69" s="22" t="s">
        <v>17</v>
      </c>
    </row>
    <row r="70" spans="1:6" ht="15.75" thickBot="1" x14ac:dyDescent="0.3">
      <c r="A70" s="3" t="s">
        <v>325</v>
      </c>
      <c r="B70" s="4"/>
      <c r="C70" s="4" t="s">
        <v>8</v>
      </c>
      <c r="D70" s="4" t="s">
        <v>9</v>
      </c>
      <c r="E70" s="4" t="s">
        <v>10</v>
      </c>
      <c r="F70" s="4" t="s">
        <v>11</v>
      </c>
    </row>
    <row r="71" spans="1:6" x14ac:dyDescent="0.25">
      <c r="A71" s="5">
        <v>135</v>
      </c>
      <c r="B71" s="25">
        <v>24</v>
      </c>
      <c r="C71" s="8" t="s">
        <v>293</v>
      </c>
      <c r="D71" s="16">
        <f>7.5-102</f>
        <v>-94.5</v>
      </c>
      <c r="E71" s="16" t="s">
        <v>293</v>
      </c>
      <c r="F71" s="16">
        <v>330</v>
      </c>
    </row>
    <row r="72" spans="1:6" x14ac:dyDescent="0.25">
      <c r="A72" s="6" t="s">
        <v>341</v>
      </c>
      <c r="B72" s="24"/>
      <c r="C72" s="8"/>
      <c r="D72" s="15"/>
      <c r="E72" s="15"/>
      <c r="F72" s="15"/>
    </row>
    <row r="73" spans="1:6" x14ac:dyDescent="0.25">
      <c r="A73" s="7"/>
      <c r="B73" s="24"/>
      <c r="C73" s="8" t="s">
        <v>293</v>
      </c>
      <c r="D73" s="15"/>
      <c r="E73" s="15"/>
      <c r="F73" s="15"/>
    </row>
    <row r="74" spans="1:6" x14ac:dyDescent="0.25">
      <c r="A74" s="7"/>
      <c r="B74" s="24"/>
      <c r="C74" s="8"/>
      <c r="D74" s="15"/>
      <c r="E74" s="15"/>
      <c r="F74" s="15"/>
    </row>
    <row r="75" spans="1:6" x14ac:dyDescent="0.25">
      <c r="A75" s="7"/>
      <c r="B75" s="24"/>
      <c r="C75" s="8" t="s">
        <v>293</v>
      </c>
      <c r="D75" s="15"/>
      <c r="E75" s="15"/>
      <c r="F75" s="15"/>
    </row>
    <row r="76" spans="1:6" x14ac:dyDescent="0.25">
      <c r="A76" s="9">
        <v>136</v>
      </c>
      <c r="B76" s="26">
        <v>20</v>
      </c>
      <c r="C76" s="12">
        <f>-7.5-118</f>
        <v>-125.5</v>
      </c>
      <c r="D76" s="20">
        <f>-7.5-118</f>
        <v>-125.5</v>
      </c>
      <c r="E76" s="20" t="s">
        <v>218</v>
      </c>
      <c r="F76" s="20">
        <v>-440</v>
      </c>
    </row>
    <row r="77" spans="1:6" x14ac:dyDescent="0.25">
      <c r="A77" s="10" t="s">
        <v>342</v>
      </c>
      <c r="B77" s="26"/>
      <c r="C77" s="12"/>
      <c r="D77" s="20"/>
      <c r="E77" s="20"/>
      <c r="F77" s="20"/>
    </row>
    <row r="78" spans="1:6" x14ac:dyDescent="0.25">
      <c r="A78" s="11"/>
      <c r="B78" s="26"/>
      <c r="C78" s="12">
        <f>-7.5-115</f>
        <v>-122.5</v>
      </c>
      <c r="D78" s="20"/>
      <c r="E78" s="20"/>
      <c r="F78" s="20"/>
    </row>
    <row r="79" spans="1:6" x14ac:dyDescent="0.25">
      <c r="A79" s="11"/>
      <c r="B79" s="26"/>
      <c r="C79" s="12"/>
      <c r="D79" s="20"/>
      <c r="E79" s="20"/>
      <c r="F79" s="20"/>
    </row>
    <row r="80" spans="1:6" x14ac:dyDescent="0.25">
      <c r="A80" s="11"/>
      <c r="B80" s="26"/>
      <c r="C80" s="12">
        <f>-8.5-105</f>
        <v>-113.5</v>
      </c>
      <c r="D80" s="20"/>
      <c r="E80" s="20"/>
      <c r="F80" s="20"/>
    </row>
    <row r="81" spans="1:6" ht="37.5" x14ac:dyDescent="0.25">
      <c r="A81" s="22" t="s">
        <v>17</v>
      </c>
    </row>
    <row r="82" spans="1:6" ht="15.75" thickBot="1" x14ac:dyDescent="0.3">
      <c r="A82" s="3" t="s">
        <v>325</v>
      </c>
      <c r="B82" s="4"/>
      <c r="C82" s="4" t="s">
        <v>8</v>
      </c>
      <c r="D82" s="4" t="s">
        <v>9</v>
      </c>
      <c r="E82" s="4" t="s">
        <v>10</v>
      </c>
      <c r="F82" s="4" t="s">
        <v>11</v>
      </c>
    </row>
    <row r="83" spans="1:6" x14ac:dyDescent="0.25">
      <c r="A83" s="5">
        <v>127</v>
      </c>
      <c r="B83" s="25">
        <v>27</v>
      </c>
      <c r="C83" s="8" t="s">
        <v>42</v>
      </c>
      <c r="D83" s="16" t="s">
        <v>266</v>
      </c>
      <c r="E83" s="16" t="s">
        <v>42</v>
      </c>
      <c r="F83" s="16">
        <v>225</v>
      </c>
    </row>
    <row r="84" spans="1:6" x14ac:dyDescent="0.25">
      <c r="A84" s="6" t="s">
        <v>343</v>
      </c>
      <c r="B84" s="24"/>
      <c r="C84" s="8"/>
      <c r="D84" s="15"/>
      <c r="E84" s="15"/>
      <c r="F84" s="15"/>
    </row>
    <row r="85" spans="1:6" x14ac:dyDescent="0.25">
      <c r="A85" s="7"/>
      <c r="B85" s="24"/>
      <c r="C85" s="8" t="s">
        <v>42</v>
      </c>
      <c r="D85" s="15"/>
      <c r="E85" s="15"/>
      <c r="F85" s="15"/>
    </row>
    <row r="86" spans="1:6" x14ac:dyDescent="0.25">
      <c r="A86" s="7"/>
      <c r="B86" s="24"/>
      <c r="C86" s="8"/>
      <c r="D86" s="15"/>
      <c r="E86" s="15"/>
      <c r="F86" s="15"/>
    </row>
    <row r="87" spans="1:6" x14ac:dyDescent="0.25">
      <c r="A87" s="7"/>
      <c r="B87" s="24"/>
      <c r="C87" s="8" t="s">
        <v>40</v>
      </c>
      <c r="D87" s="15"/>
      <c r="E87" s="15"/>
      <c r="F87" s="15"/>
    </row>
    <row r="88" spans="1:6" x14ac:dyDescent="0.25">
      <c r="A88" s="9">
        <v>128</v>
      </c>
      <c r="B88" s="26">
        <v>22</v>
      </c>
      <c r="C88" s="12">
        <f>-5.5-120</f>
        <v>-125.5</v>
      </c>
      <c r="D88" s="20">
        <f>-5.5-120</f>
        <v>-125.5</v>
      </c>
      <c r="E88" s="20" t="s">
        <v>44</v>
      </c>
      <c r="F88" s="20">
        <v>-290</v>
      </c>
    </row>
    <row r="89" spans="1:6" x14ac:dyDescent="0.25">
      <c r="A89" s="10" t="s">
        <v>344</v>
      </c>
      <c r="B89" s="26"/>
      <c r="C89" s="12"/>
      <c r="D89" s="20"/>
      <c r="E89" s="20"/>
      <c r="F89" s="20"/>
    </row>
    <row r="90" spans="1:6" x14ac:dyDescent="0.25">
      <c r="A90" s="11"/>
      <c r="B90" s="26"/>
      <c r="C90" s="12">
        <f>-5.5-120</f>
        <v>-125.5</v>
      </c>
      <c r="D90" s="20"/>
      <c r="E90" s="20"/>
      <c r="F90" s="20"/>
    </row>
    <row r="91" spans="1:6" x14ac:dyDescent="0.25">
      <c r="A91" s="11"/>
      <c r="B91" s="26"/>
      <c r="C91" s="12"/>
      <c r="D91" s="20"/>
      <c r="E91" s="20"/>
      <c r="F91" s="20"/>
    </row>
    <row r="92" spans="1:6" x14ac:dyDescent="0.25">
      <c r="A92" s="11"/>
      <c r="B92" s="26"/>
      <c r="C92" s="12">
        <f>-5.5-120</f>
        <v>-125.5</v>
      </c>
      <c r="D92" s="20"/>
      <c r="E92" s="20"/>
      <c r="F92" s="20"/>
    </row>
    <row r="93" spans="1:6" ht="37.5" x14ac:dyDescent="0.25">
      <c r="A93" s="22" t="s">
        <v>17</v>
      </c>
    </row>
    <row r="94" spans="1:6" ht="15.75" thickBot="1" x14ac:dyDescent="0.3">
      <c r="A94" s="3" t="s">
        <v>325</v>
      </c>
      <c r="B94" s="4"/>
      <c r="C94" s="4" t="s">
        <v>8</v>
      </c>
      <c r="D94" s="4" t="s">
        <v>9</v>
      </c>
      <c r="E94" s="4" t="s">
        <v>10</v>
      </c>
      <c r="F94" s="4" t="s">
        <v>11</v>
      </c>
    </row>
    <row r="95" spans="1:6" x14ac:dyDescent="0.25">
      <c r="A95" s="5">
        <v>129</v>
      </c>
      <c r="B95" s="25">
        <v>37</v>
      </c>
      <c r="C95" s="8" t="s">
        <v>346</v>
      </c>
      <c r="D95" s="16" t="s">
        <v>347</v>
      </c>
      <c r="E95" s="16" t="s">
        <v>207</v>
      </c>
      <c r="F95" s="16">
        <v>-375</v>
      </c>
    </row>
    <row r="96" spans="1:6" x14ac:dyDescent="0.25">
      <c r="A96" s="6" t="s">
        <v>345</v>
      </c>
      <c r="B96" s="24"/>
      <c r="C96" s="8"/>
      <c r="D96" s="15"/>
      <c r="E96" s="15"/>
      <c r="F96" s="15"/>
    </row>
    <row r="97" spans="1:6" x14ac:dyDescent="0.25">
      <c r="A97" s="7"/>
      <c r="B97" s="24"/>
      <c r="C97" s="8" t="s">
        <v>346</v>
      </c>
      <c r="D97" s="15"/>
      <c r="E97" s="15"/>
      <c r="F97" s="15"/>
    </row>
    <row r="98" spans="1:6" x14ac:dyDescent="0.25">
      <c r="A98" s="7"/>
      <c r="B98" s="24"/>
      <c r="C98" s="8"/>
      <c r="D98" s="15"/>
      <c r="E98" s="15"/>
      <c r="F98" s="15"/>
    </row>
    <row r="99" spans="1:6" x14ac:dyDescent="0.25">
      <c r="A99" s="7"/>
      <c r="B99" s="24"/>
      <c r="C99" s="8" t="s">
        <v>346</v>
      </c>
      <c r="D99" s="15"/>
      <c r="E99" s="15"/>
      <c r="F99" s="15"/>
    </row>
    <row r="100" spans="1:6" x14ac:dyDescent="0.25">
      <c r="A100" s="9">
        <v>130</v>
      </c>
      <c r="B100" s="26">
        <v>9</v>
      </c>
      <c r="C100" s="12" t="s">
        <v>209</v>
      </c>
      <c r="D100" s="20">
        <f>7-120</f>
        <v>-113</v>
      </c>
      <c r="E100" s="20" t="s">
        <v>209</v>
      </c>
      <c r="F100" s="20">
        <v>285</v>
      </c>
    </row>
    <row r="101" spans="1:6" x14ac:dyDescent="0.25">
      <c r="A101" s="10" t="s">
        <v>348</v>
      </c>
      <c r="B101" s="26"/>
      <c r="C101" s="12"/>
      <c r="D101" s="20"/>
      <c r="E101" s="20"/>
      <c r="F101" s="20"/>
    </row>
    <row r="102" spans="1:6" x14ac:dyDescent="0.25">
      <c r="A102" s="11"/>
      <c r="B102" s="26"/>
      <c r="C102" s="12" t="s">
        <v>328</v>
      </c>
      <c r="D102" s="20"/>
      <c r="E102" s="20"/>
      <c r="F102" s="20"/>
    </row>
    <row r="103" spans="1:6" x14ac:dyDescent="0.25">
      <c r="A103" s="11"/>
      <c r="B103" s="26"/>
      <c r="C103" s="12"/>
      <c r="D103" s="20"/>
      <c r="E103" s="20"/>
      <c r="F103" s="20"/>
    </row>
    <row r="104" spans="1:6" x14ac:dyDescent="0.25">
      <c r="A104" s="11"/>
      <c r="B104" s="26"/>
      <c r="C104" s="12" t="s">
        <v>188</v>
      </c>
      <c r="D104" s="20"/>
      <c r="E104" s="20"/>
      <c r="F104" s="20"/>
    </row>
    <row r="105" spans="1:6" ht="37.5" x14ac:dyDescent="0.25">
      <c r="A105" s="22" t="s">
        <v>17</v>
      </c>
    </row>
    <row r="106" spans="1:6" ht="15.75" thickBot="1" x14ac:dyDescent="0.3">
      <c r="A106" s="3" t="s">
        <v>325</v>
      </c>
      <c r="B106" s="4"/>
      <c r="C106" s="4" t="s">
        <v>8</v>
      </c>
      <c r="D106" s="4" t="s">
        <v>9</v>
      </c>
      <c r="E106" s="4" t="s">
        <v>10</v>
      </c>
      <c r="F106" s="4" t="s">
        <v>11</v>
      </c>
    </row>
    <row r="107" spans="1:6" x14ac:dyDescent="0.25">
      <c r="A107" s="5">
        <v>123</v>
      </c>
      <c r="B107" s="25">
        <v>34</v>
      </c>
      <c r="C107" s="8">
        <f>-2.5-115</f>
        <v>-117.5</v>
      </c>
      <c r="D107" s="16">
        <f>-2.5-115</f>
        <v>-117.5</v>
      </c>
      <c r="E107" s="16" t="s">
        <v>94</v>
      </c>
      <c r="F107" s="16">
        <v>-148</v>
      </c>
    </row>
    <row r="108" spans="1:6" x14ac:dyDescent="0.25">
      <c r="A108" s="6" t="s">
        <v>349</v>
      </c>
      <c r="B108" s="24"/>
      <c r="C108" s="8"/>
      <c r="D108" s="15"/>
      <c r="E108" s="15"/>
      <c r="F108" s="15"/>
    </row>
    <row r="109" spans="1:6" x14ac:dyDescent="0.25">
      <c r="A109" s="7"/>
      <c r="B109" s="24"/>
      <c r="C109" s="8">
        <f>-2.5-115</f>
        <v>-117.5</v>
      </c>
      <c r="D109" s="15"/>
      <c r="E109" s="15"/>
      <c r="F109" s="15"/>
    </row>
    <row r="110" spans="1:6" x14ac:dyDescent="0.25">
      <c r="A110" s="7"/>
      <c r="B110" s="24"/>
      <c r="C110" s="8"/>
      <c r="D110" s="15"/>
      <c r="E110" s="15"/>
      <c r="F110" s="15"/>
    </row>
    <row r="111" spans="1:6" x14ac:dyDescent="0.25">
      <c r="A111" s="7"/>
      <c r="B111" s="24"/>
      <c r="C111" s="8">
        <f>-2.5-115</f>
        <v>-117.5</v>
      </c>
      <c r="D111" s="15"/>
      <c r="E111" s="15"/>
      <c r="F111" s="15"/>
    </row>
    <row r="112" spans="1:6" x14ac:dyDescent="0.25">
      <c r="A112" s="9">
        <v>124</v>
      </c>
      <c r="B112" s="26">
        <v>10</v>
      </c>
      <c r="C112" s="12" t="s">
        <v>94</v>
      </c>
      <c r="D112" s="20">
        <f>2.5-105</f>
        <v>-102.5</v>
      </c>
      <c r="E112" s="20" t="s">
        <v>96</v>
      </c>
      <c r="F112" s="20">
        <v>124</v>
      </c>
    </row>
    <row r="113" spans="1:6" x14ac:dyDescent="0.25">
      <c r="A113" s="10" t="s">
        <v>350</v>
      </c>
      <c r="B113" s="26"/>
      <c r="C113" s="12"/>
      <c r="D113" s="20"/>
      <c r="E113" s="20"/>
      <c r="F113" s="20"/>
    </row>
    <row r="114" spans="1:6" x14ac:dyDescent="0.25">
      <c r="A114" s="11"/>
      <c r="B114" s="26"/>
      <c r="C114" s="12" t="s">
        <v>225</v>
      </c>
      <c r="D114" s="20"/>
      <c r="E114" s="20"/>
      <c r="F114" s="20"/>
    </row>
    <row r="115" spans="1:6" x14ac:dyDescent="0.25">
      <c r="A115" s="11"/>
      <c r="B115" s="26"/>
      <c r="C115" s="12"/>
      <c r="D115" s="20"/>
      <c r="E115" s="20"/>
      <c r="F115" s="20"/>
    </row>
    <row r="116" spans="1:6" x14ac:dyDescent="0.25">
      <c r="A116" s="11"/>
      <c r="B116" s="26"/>
      <c r="C116" s="12" t="s">
        <v>351</v>
      </c>
      <c r="D116" s="20"/>
      <c r="E116" s="20"/>
      <c r="F116" s="20"/>
    </row>
    <row r="117" spans="1:6" ht="37.5" x14ac:dyDescent="0.25">
      <c r="A117" s="22" t="s">
        <v>17</v>
      </c>
    </row>
    <row r="118" spans="1:6" ht="15.75" thickBot="1" x14ac:dyDescent="0.3">
      <c r="A118" s="3" t="s">
        <v>352</v>
      </c>
      <c r="B118" s="4"/>
      <c r="C118" s="4" t="s">
        <v>8</v>
      </c>
      <c r="D118" s="4" t="s">
        <v>9</v>
      </c>
      <c r="E118" s="4" t="s">
        <v>10</v>
      </c>
      <c r="F118" s="4" t="s">
        <v>11</v>
      </c>
    </row>
    <row r="119" spans="1:6" x14ac:dyDescent="0.25">
      <c r="A119" s="5">
        <v>137</v>
      </c>
      <c r="B119" s="25">
        <v>24</v>
      </c>
      <c r="C119" s="8">
        <f>-8.5-110</f>
        <v>-118.5</v>
      </c>
      <c r="D119" s="18">
        <f>-8.5-110</f>
        <v>-118.5</v>
      </c>
      <c r="E119" s="16" t="s">
        <v>270</v>
      </c>
      <c r="F119" s="16">
        <v>-470</v>
      </c>
    </row>
    <row r="120" spans="1:6" x14ac:dyDescent="0.25">
      <c r="A120" s="6" t="s">
        <v>353</v>
      </c>
      <c r="B120" s="24"/>
      <c r="C120" s="8"/>
      <c r="D120" s="17"/>
      <c r="E120" s="15"/>
      <c r="F120" s="15"/>
    </row>
    <row r="121" spans="1:6" x14ac:dyDescent="0.25">
      <c r="A121" s="7"/>
      <c r="B121" s="24"/>
      <c r="C121" s="8">
        <f>-8.5-105</f>
        <v>-113.5</v>
      </c>
      <c r="D121" s="17"/>
      <c r="E121" s="15"/>
      <c r="F121" s="15"/>
    </row>
    <row r="122" spans="1:6" x14ac:dyDescent="0.25">
      <c r="A122" s="7"/>
      <c r="B122" s="24"/>
      <c r="C122" s="8"/>
      <c r="D122" s="17"/>
      <c r="E122" s="15"/>
      <c r="F122" s="15"/>
    </row>
    <row r="123" spans="1:6" x14ac:dyDescent="0.25">
      <c r="A123" s="7"/>
      <c r="B123" s="24"/>
      <c r="C123" s="8">
        <f>-7.5-108</f>
        <v>-115.5</v>
      </c>
      <c r="D123" s="17"/>
      <c r="E123" s="15"/>
      <c r="F123" s="15"/>
    </row>
    <row r="124" spans="1:6" x14ac:dyDescent="0.25">
      <c r="A124" s="9">
        <v>138</v>
      </c>
      <c r="B124" s="26">
        <v>17</v>
      </c>
      <c r="C124" s="12" t="s">
        <v>270</v>
      </c>
      <c r="D124" s="21">
        <f>8.5-110</f>
        <v>-101.5</v>
      </c>
      <c r="E124" s="20" t="s">
        <v>269</v>
      </c>
      <c r="F124" s="20">
        <v>360</v>
      </c>
    </row>
    <row r="125" spans="1:6" x14ac:dyDescent="0.25">
      <c r="A125" s="10" t="s">
        <v>354</v>
      </c>
      <c r="B125" s="26"/>
      <c r="C125" s="12"/>
      <c r="D125" s="21"/>
      <c r="E125" s="20"/>
      <c r="F125" s="20"/>
    </row>
    <row r="126" spans="1:6" x14ac:dyDescent="0.25">
      <c r="A126" s="11"/>
      <c r="B126" s="26"/>
      <c r="C126" s="12" t="s">
        <v>270</v>
      </c>
      <c r="D126" s="21"/>
      <c r="E126" s="20"/>
      <c r="F126" s="20"/>
    </row>
    <row r="127" spans="1:6" x14ac:dyDescent="0.25">
      <c r="A127" s="11"/>
      <c r="B127" s="26"/>
      <c r="C127" s="12"/>
      <c r="D127" s="21"/>
      <c r="E127" s="20"/>
      <c r="F127" s="20"/>
    </row>
    <row r="128" spans="1:6" x14ac:dyDescent="0.25">
      <c r="A128" s="11"/>
      <c r="B128" s="26"/>
      <c r="C128" s="12" t="s">
        <v>270</v>
      </c>
      <c r="D128" s="21"/>
      <c r="E128" s="20"/>
      <c r="F128" s="20"/>
    </row>
    <row r="129" spans="1:6" ht="37.5" x14ac:dyDescent="0.25">
      <c r="A129" s="22" t="s">
        <v>17</v>
      </c>
    </row>
    <row r="130" spans="1:6" ht="15.75" thickBot="1" x14ac:dyDescent="0.3">
      <c r="A130" s="3" t="s">
        <v>355</v>
      </c>
      <c r="B130" s="4"/>
      <c r="C130" s="4" t="s">
        <v>8</v>
      </c>
      <c r="D130" s="4" t="s">
        <v>9</v>
      </c>
      <c r="E130" s="4" t="s">
        <v>10</v>
      </c>
      <c r="F130" s="4" t="s">
        <v>11</v>
      </c>
    </row>
    <row r="131" spans="1:6" x14ac:dyDescent="0.25">
      <c r="A131" s="5">
        <v>139</v>
      </c>
      <c r="B131" s="25">
        <v>45</v>
      </c>
      <c r="C131" s="8">
        <f>-9.5-110</f>
        <v>-119.5</v>
      </c>
      <c r="D131" s="16">
        <f>-9.5-110</f>
        <v>-119.5</v>
      </c>
      <c r="E131" s="16" t="s">
        <v>357</v>
      </c>
      <c r="F131" s="16">
        <v>-520</v>
      </c>
    </row>
    <row r="132" spans="1:6" x14ac:dyDescent="0.25">
      <c r="A132" s="6" t="s">
        <v>356</v>
      </c>
      <c r="B132" s="24"/>
      <c r="C132" s="8"/>
      <c r="D132" s="15"/>
      <c r="E132" s="15"/>
      <c r="F132" s="15"/>
    </row>
    <row r="133" spans="1:6" x14ac:dyDescent="0.25">
      <c r="A133" s="7"/>
      <c r="B133" s="24"/>
      <c r="C133" s="8">
        <f>-9.5-110</f>
        <v>-119.5</v>
      </c>
      <c r="D133" s="15"/>
      <c r="E133" s="15"/>
      <c r="F133" s="15"/>
    </row>
    <row r="134" spans="1:6" x14ac:dyDescent="0.25">
      <c r="A134" s="7"/>
      <c r="B134" s="24"/>
      <c r="C134" s="8"/>
      <c r="D134" s="15"/>
      <c r="E134" s="15"/>
      <c r="F134" s="15"/>
    </row>
    <row r="135" spans="1:6" x14ac:dyDescent="0.25">
      <c r="A135" s="7"/>
      <c r="B135" s="24"/>
      <c r="C135" s="8">
        <f>-9.5-110</f>
        <v>-119.5</v>
      </c>
      <c r="D135" s="15"/>
      <c r="E135" s="15"/>
      <c r="F135" s="15"/>
    </row>
    <row r="136" spans="1:6" x14ac:dyDescent="0.25">
      <c r="A136" s="9">
        <v>140</v>
      </c>
      <c r="B136" s="26">
        <v>17</v>
      </c>
      <c r="C136" s="12" t="s">
        <v>359</v>
      </c>
      <c r="D136" s="20">
        <f>9.5-110</f>
        <v>-100.5</v>
      </c>
      <c r="E136" s="20" t="s">
        <v>359</v>
      </c>
      <c r="F136" s="20">
        <v>370</v>
      </c>
    </row>
    <row r="137" spans="1:6" x14ac:dyDescent="0.25">
      <c r="A137" s="10" t="s">
        <v>358</v>
      </c>
      <c r="B137" s="26"/>
      <c r="C137" s="12"/>
      <c r="D137" s="20"/>
      <c r="E137" s="20"/>
      <c r="F137" s="20"/>
    </row>
    <row r="138" spans="1:6" x14ac:dyDescent="0.25">
      <c r="A138" s="11"/>
      <c r="B138" s="26"/>
      <c r="C138" s="12" t="s">
        <v>360</v>
      </c>
      <c r="D138" s="20"/>
      <c r="E138" s="20"/>
      <c r="F138" s="20"/>
    </row>
    <row r="139" spans="1:6" x14ac:dyDescent="0.25">
      <c r="A139" s="11"/>
      <c r="B139" s="26"/>
      <c r="C139" s="12"/>
      <c r="D139" s="20"/>
      <c r="E139" s="20"/>
      <c r="F139" s="20"/>
    </row>
    <row r="140" spans="1:6" x14ac:dyDescent="0.25">
      <c r="A140" s="11"/>
      <c r="B140" s="26"/>
      <c r="C140" s="12" t="s">
        <v>179</v>
      </c>
      <c r="D140" s="20"/>
      <c r="E140" s="20"/>
      <c r="F140" s="20"/>
    </row>
    <row r="141" spans="1:6" ht="37.5" x14ac:dyDescent="0.25">
      <c r="A141" s="22" t="s">
        <v>17</v>
      </c>
    </row>
    <row r="142" spans="1:6" ht="15.75" thickBot="1" x14ac:dyDescent="0.3">
      <c r="A142" s="3" t="s">
        <v>355</v>
      </c>
      <c r="B142" s="4"/>
      <c r="C142" s="4" t="s">
        <v>8</v>
      </c>
      <c r="D142" s="4" t="s">
        <v>9</v>
      </c>
      <c r="E142" s="4" t="s">
        <v>10</v>
      </c>
      <c r="F142" s="4" t="s">
        <v>11</v>
      </c>
    </row>
    <row r="143" spans="1:6" x14ac:dyDescent="0.25">
      <c r="A143" s="5">
        <v>133</v>
      </c>
      <c r="B143" s="14">
        <v>21</v>
      </c>
      <c r="C143" s="8" t="s">
        <v>195</v>
      </c>
      <c r="D143" s="18">
        <f>6.5-105</f>
        <v>-98.5</v>
      </c>
      <c r="E143" s="16" t="s">
        <v>188</v>
      </c>
      <c r="F143" s="18">
        <v>245</v>
      </c>
    </row>
    <row r="144" spans="1:6" x14ac:dyDescent="0.25">
      <c r="A144" s="6" t="s">
        <v>361</v>
      </c>
      <c r="B144" s="13"/>
      <c r="C144" s="8"/>
      <c r="D144" s="17"/>
      <c r="E144" s="15"/>
      <c r="F144" s="17"/>
    </row>
    <row r="145" spans="1:6" x14ac:dyDescent="0.25">
      <c r="A145" s="7"/>
      <c r="B145" s="13"/>
      <c r="C145" s="8" t="s">
        <v>42</v>
      </c>
      <c r="D145" s="17"/>
      <c r="E145" s="15"/>
      <c r="F145" s="17"/>
    </row>
    <row r="146" spans="1:6" x14ac:dyDescent="0.25">
      <c r="A146" s="7"/>
      <c r="B146" s="13"/>
      <c r="C146" s="8"/>
      <c r="D146" s="17"/>
      <c r="E146" s="15"/>
      <c r="F146" s="17"/>
    </row>
    <row r="147" spans="1:6" x14ac:dyDescent="0.25">
      <c r="A147" s="7"/>
      <c r="B147" s="13"/>
      <c r="C147" s="8" t="s">
        <v>42</v>
      </c>
      <c r="D147" s="17"/>
      <c r="E147" s="15"/>
      <c r="F147" s="17"/>
    </row>
    <row r="148" spans="1:6" x14ac:dyDescent="0.25">
      <c r="A148" s="9">
        <v>134</v>
      </c>
      <c r="B148" s="19">
        <v>28</v>
      </c>
      <c r="C148" s="12">
        <f>-6.5-115</f>
        <v>-121.5</v>
      </c>
      <c r="D148" s="21">
        <f>-6.5-115</f>
        <v>-121.5</v>
      </c>
      <c r="E148" s="20" t="s">
        <v>195</v>
      </c>
      <c r="F148" s="21">
        <v>-310</v>
      </c>
    </row>
    <row r="149" spans="1:6" x14ac:dyDescent="0.25">
      <c r="A149" s="10" t="s">
        <v>362</v>
      </c>
      <c r="B149" s="19"/>
      <c r="C149" s="12"/>
      <c r="D149" s="21"/>
      <c r="E149" s="20"/>
      <c r="F149" s="21"/>
    </row>
    <row r="150" spans="1:6" x14ac:dyDescent="0.25">
      <c r="A150" s="11"/>
      <c r="B150" s="19"/>
      <c r="C150" s="12">
        <f>-6.5-115</f>
        <v>-121.5</v>
      </c>
      <c r="D150" s="21"/>
      <c r="E150" s="20"/>
      <c r="F150" s="21"/>
    </row>
    <row r="151" spans="1:6" x14ac:dyDescent="0.25">
      <c r="A151" s="11"/>
      <c r="B151" s="19"/>
      <c r="C151" s="12"/>
      <c r="D151" s="21"/>
      <c r="E151" s="20"/>
      <c r="F151" s="21"/>
    </row>
    <row r="152" spans="1:6" x14ac:dyDescent="0.25">
      <c r="A152" s="11"/>
      <c r="B152" s="19"/>
      <c r="C152" s="12" t="s">
        <v>347</v>
      </c>
      <c r="D152" s="21"/>
      <c r="E152" s="20"/>
      <c r="F152" s="21"/>
    </row>
    <row r="153" spans="1:6" ht="37.5" x14ac:dyDescent="0.25">
      <c r="A153" s="22" t="s">
        <v>17</v>
      </c>
    </row>
    <row r="154" spans="1:6" ht="15.75" thickBot="1" x14ac:dyDescent="0.3">
      <c r="A154" s="3" t="s">
        <v>363</v>
      </c>
      <c r="B154" s="4"/>
      <c r="C154" s="4" t="s">
        <v>8</v>
      </c>
      <c r="D154" s="4" t="s">
        <v>9</v>
      </c>
      <c r="E154" s="4" t="s">
        <v>10</v>
      </c>
      <c r="F154" s="4" t="s">
        <v>11</v>
      </c>
    </row>
    <row r="155" spans="1:6" x14ac:dyDescent="0.25">
      <c r="A155" s="5">
        <v>143</v>
      </c>
      <c r="B155" s="25">
        <v>20</v>
      </c>
      <c r="C155" s="8" t="s">
        <v>96</v>
      </c>
      <c r="D155" s="16">
        <f>4.5-115</f>
        <v>-110.5</v>
      </c>
      <c r="E155" s="18" t="s">
        <v>94</v>
      </c>
      <c r="F155" s="16">
        <v>185</v>
      </c>
    </row>
    <row r="156" spans="1:6" x14ac:dyDescent="0.25">
      <c r="A156" s="6" t="s">
        <v>364</v>
      </c>
      <c r="B156" s="24"/>
      <c r="C156" s="8"/>
      <c r="D156" s="15"/>
      <c r="E156" s="17"/>
      <c r="F156" s="15"/>
    </row>
    <row r="157" spans="1:6" x14ac:dyDescent="0.25">
      <c r="A157" s="7"/>
      <c r="B157" s="24"/>
      <c r="C157" s="8" t="s">
        <v>96</v>
      </c>
      <c r="D157" s="15"/>
      <c r="E157" s="17"/>
      <c r="F157" s="15"/>
    </row>
    <row r="158" spans="1:6" x14ac:dyDescent="0.25">
      <c r="A158" s="7"/>
      <c r="B158" s="24"/>
      <c r="C158" s="8"/>
      <c r="D158" s="15"/>
      <c r="E158" s="17"/>
      <c r="F158" s="15"/>
    </row>
    <row r="159" spans="1:6" x14ac:dyDescent="0.25">
      <c r="A159" s="7"/>
      <c r="B159" s="24"/>
      <c r="C159" s="8" t="s">
        <v>96</v>
      </c>
      <c r="D159" s="15"/>
      <c r="E159" s="17"/>
      <c r="F159" s="15"/>
    </row>
    <row r="160" spans="1:6" x14ac:dyDescent="0.25">
      <c r="A160" s="9">
        <v>144</v>
      </c>
      <c r="B160" s="26">
        <v>10</v>
      </c>
      <c r="C160" s="12">
        <f>-4.5-105</f>
        <v>-109.5</v>
      </c>
      <c r="D160" s="20">
        <f>-4.5-105</f>
        <v>-109.5</v>
      </c>
      <c r="E160" s="21" t="s">
        <v>96</v>
      </c>
      <c r="F160" s="20">
        <v>-218</v>
      </c>
    </row>
    <row r="161" spans="1:6" x14ac:dyDescent="0.25">
      <c r="A161" s="10" t="s">
        <v>365</v>
      </c>
      <c r="B161" s="26"/>
      <c r="C161" s="12"/>
      <c r="D161" s="20"/>
      <c r="E161" s="21"/>
      <c r="F161" s="20"/>
    </row>
    <row r="162" spans="1:6" x14ac:dyDescent="0.25">
      <c r="A162" s="11"/>
      <c r="B162" s="26"/>
      <c r="C162" s="12">
        <f>-4.5-112</f>
        <v>-116.5</v>
      </c>
      <c r="D162" s="20"/>
      <c r="E162" s="21"/>
      <c r="F162" s="20"/>
    </row>
    <row r="163" spans="1:6" x14ac:dyDescent="0.25">
      <c r="A163" s="11"/>
      <c r="B163" s="26"/>
      <c r="C163" s="12"/>
      <c r="D163" s="20"/>
      <c r="E163" s="21"/>
      <c r="F163" s="20"/>
    </row>
    <row r="164" spans="1:6" x14ac:dyDescent="0.25">
      <c r="A164" s="11"/>
      <c r="B164" s="26"/>
      <c r="C164" s="12">
        <f>-4.5-112</f>
        <v>-116.5</v>
      </c>
      <c r="D164" s="20"/>
      <c r="E164" s="21"/>
      <c r="F164" s="20"/>
    </row>
    <row r="165" spans="1:6" ht="38.25" thickBot="1" x14ac:dyDescent="0.3">
      <c r="A165" s="22" t="s">
        <v>17</v>
      </c>
    </row>
    <row r="166" spans="1:6" ht="56.25" x14ac:dyDescent="0.25">
      <c r="A166" s="27" t="s">
        <v>174</v>
      </c>
    </row>
    <row r="167" spans="1:6" ht="15.75" thickBot="1" x14ac:dyDescent="0.3">
      <c r="A167" s="3" t="s">
        <v>366</v>
      </c>
      <c r="B167" s="4"/>
      <c r="C167" s="4" t="s">
        <v>8</v>
      </c>
      <c r="D167" s="4" t="s">
        <v>9</v>
      </c>
      <c r="E167" s="4" t="s">
        <v>10</v>
      </c>
      <c r="F167" s="4" t="s">
        <v>11</v>
      </c>
    </row>
    <row r="168" spans="1:6" x14ac:dyDescent="0.25">
      <c r="A168" s="5">
        <v>145</v>
      </c>
      <c r="B168" s="14">
        <v>19</v>
      </c>
      <c r="C168" s="8">
        <f>-1.5-105</f>
        <v>-106.5</v>
      </c>
      <c r="D168" s="18">
        <f>-1.5-105</f>
        <v>-106.5</v>
      </c>
      <c r="E168" s="18" t="s">
        <v>293</v>
      </c>
      <c r="F168" s="18">
        <v>-120</v>
      </c>
    </row>
    <row r="169" spans="1:6" x14ac:dyDescent="0.25">
      <c r="A169" s="6" t="s">
        <v>367</v>
      </c>
      <c r="B169" s="13"/>
      <c r="C169" s="8"/>
      <c r="D169" s="17"/>
      <c r="E169" s="17"/>
      <c r="F169" s="17"/>
    </row>
    <row r="170" spans="1:6" x14ac:dyDescent="0.25">
      <c r="A170" s="7"/>
      <c r="B170" s="13"/>
      <c r="C170" s="8">
        <f>-1.5-105</f>
        <v>-106.5</v>
      </c>
      <c r="D170" s="17"/>
      <c r="E170" s="17"/>
      <c r="F170" s="17"/>
    </row>
    <row r="171" spans="1:6" x14ac:dyDescent="0.25">
      <c r="A171" s="7"/>
      <c r="B171" s="13"/>
      <c r="C171" s="8"/>
      <c r="D171" s="17"/>
      <c r="E171" s="17"/>
      <c r="F171" s="17"/>
    </row>
    <row r="172" spans="1:6" x14ac:dyDescent="0.25">
      <c r="A172" s="7"/>
      <c r="B172" s="13"/>
      <c r="C172" s="8">
        <f>-1.5-105</f>
        <v>-106.5</v>
      </c>
      <c r="D172" s="17"/>
      <c r="E172" s="17"/>
      <c r="F172" s="17"/>
    </row>
    <row r="173" spans="1:6" x14ac:dyDescent="0.25">
      <c r="A173" s="9">
        <v>146</v>
      </c>
      <c r="B173" s="19">
        <v>22</v>
      </c>
      <c r="C173" s="12" t="s">
        <v>218</v>
      </c>
      <c r="D173" s="21">
        <f>1.5-115</f>
        <v>-113.5</v>
      </c>
      <c r="E173" s="21" t="s">
        <v>218</v>
      </c>
      <c r="F173" s="21" t="s">
        <v>193</v>
      </c>
    </row>
    <row r="174" spans="1:6" x14ac:dyDescent="0.25">
      <c r="A174" s="10" t="s">
        <v>368</v>
      </c>
      <c r="B174" s="19"/>
      <c r="C174" s="12"/>
      <c r="D174" s="21"/>
      <c r="E174" s="21"/>
      <c r="F174" s="21"/>
    </row>
    <row r="175" spans="1:6" x14ac:dyDescent="0.25">
      <c r="A175" s="11"/>
      <c r="B175" s="19"/>
      <c r="C175" s="12" t="s">
        <v>130</v>
      </c>
      <c r="D175" s="21"/>
      <c r="E175" s="21"/>
      <c r="F175" s="21"/>
    </row>
    <row r="176" spans="1:6" x14ac:dyDescent="0.25">
      <c r="A176" s="11"/>
      <c r="B176" s="19"/>
      <c r="C176" s="12"/>
      <c r="D176" s="21"/>
      <c r="E176" s="21"/>
      <c r="F176" s="21"/>
    </row>
    <row r="177" spans="1:6" x14ac:dyDescent="0.25">
      <c r="A177" s="11"/>
      <c r="B177" s="19"/>
      <c r="C177" s="12" t="s">
        <v>218</v>
      </c>
      <c r="D177" s="21"/>
      <c r="E177" s="21"/>
      <c r="F177" s="21"/>
    </row>
  </sheetData>
  <mergeCells count="112">
    <mergeCell ref="B168:B172"/>
    <mergeCell ref="D168:D172"/>
    <mergeCell ref="E168:E172"/>
    <mergeCell ref="F168:F172"/>
    <mergeCell ref="B173:B177"/>
    <mergeCell ref="D173:D177"/>
    <mergeCell ref="E173:E177"/>
    <mergeCell ref="F173:F177"/>
    <mergeCell ref="B155:B159"/>
    <mergeCell ref="D155:D159"/>
    <mergeCell ref="E155:E159"/>
    <mergeCell ref="F155:F159"/>
    <mergeCell ref="B160:B164"/>
    <mergeCell ref="D160:D164"/>
    <mergeCell ref="E160:E164"/>
    <mergeCell ref="F160:F164"/>
    <mergeCell ref="B143:B147"/>
    <mergeCell ref="D143:D147"/>
    <mergeCell ref="E143:E147"/>
    <mergeCell ref="F143:F147"/>
    <mergeCell ref="B148:B152"/>
    <mergeCell ref="D148:D152"/>
    <mergeCell ref="E148:E152"/>
    <mergeCell ref="F148:F152"/>
    <mergeCell ref="B131:B135"/>
    <mergeCell ref="D131:D135"/>
    <mergeCell ref="E131:E135"/>
    <mergeCell ref="F131:F135"/>
    <mergeCell ref="B136:B140"/>
    <mergeCell ref="D136:D140"/>
    <mergeCell ref="E136:E140"/>
    <mergeCell ref="F136:F140"/>
    <mergeCell ref="B119:B123"/>
    <mergeCell ref="D119:D123"/>
    <mergeCell ref="E119:E123"/>
    <mergeCell ref="F119:F123"/>
    <mergeCell ref="B124:B128"/>
    <mergeCell ref="D124:D128"/>
    <mergeCell ref="E124:E128"/>
    <mergeCell ref="F124:F128"/>
    <mergeCell ref="B107:B111"/>
    <mergeCell ref="D107:D111"/>
    <mergeCell ref="E107:E111"/>
    <mergeCell ref="F107:F111"/>
    <mergeCell ref="B112:B116"/>
    <mergeCell ref="D112:D116"/>
    <mergeCell ref="E112:E116"/>
    <mergeCell ref="F112:F116"/>
    <mergeCell ref="B95:B99"/>
    <mergeCell ref="D95:D99"/>
    <mergeCell ref="E95:E99"/>
    <mergeCell ref="F95:F99"/>
    <mergeCell ref="B100:B104"/>
    <mergeCell ref="D100:D104"/>
    <mergeCell ref="E100:E104"/>
    <mergeCell ref="F100:F104"/>
    <mergeCell ref="B83:B87"/>
    <mergeCell ref="D83:D87"/>
    <mergeCell ref="E83:E87"/>
    <mergeCell ref="F83:F87"/>
    <mergeCell ref="B88:B92"/>
    <mergeCell ref="D88:D92"/>
    <mergeCell ref="E88:E92"/>
    <mergeCell ref="F88:F92"/>
    <mergeCell ref="B71:B75"/>
    <mergeCell ref="D71:D75"/>
    <mergeCell ref="E71:E75"/>
    <mergeCell ref="F71:F75"/>
    <mergeCell ref="B76:B80"/>
    <mergeCell ref="D76:D80"/>
    <mergeCell ref="E76:E80"/>
    <mergeCell ref="F76:F80"/>
    <mergeCell ref="B59:B63"/>
    <mergeCell ref="D59:D63"/>
    <mergeCell ref="E59:E63"/>
    <mergeCell ref="F59:F63"/>
    <mergeCell ref="B64:B68"/>
    <mergeCell ref="D64:D68"/>
    <mergeCell ref="E64:E68"/>
    <mergeCell ref="F64:F68"/>
    <mergeCell ref="B47:B51"/>
    <mergeCell ref="D47:D51"/>
    <mergeCell ref="E47:E51"/>
    <mergeCell ref="F47:F51"/>
    <mergeCell ref="B52:B56"/>
    <mergeCell ref="D52:D56"/>
    <mergeCell ref="E52:E56"/>
    <mergeCell ref="F52:F56"/>
    <mergeCell ref="B35:B39"/>
    <mergeCell ref="D35:D39"/>
    <mergeCell ref="E35:E39"/>
    <mergeCell ref="F35:F39"/>
    <mergeCell ref="B40:B44"/>
    <mergeCell ref="D40:D44"/>
    <mergeCell ref="E40:E44"/>
    <mergeCell ref="F40:F44"/>
    <mergeCell ref="B23:B27"/>
    <mergeCell ref="D23:D27"/>
    <mergeCell ref="E23:E27"/>
    <mergeCell ref="F23:F27"/>
    <mergeCell ref="B28:B32"/>
    <mergeCell ref="D28:D32"/>
    <mergeCell ref="E28:E32"/>
    <mergeCell ref="F28:F32"/>
    <mergeCell ref="B9:B13"/>
    <mergeCell ref="D9:D13"/>
    <mergeCell ref="E9:E13"/>
    <mergeCell ref="F9:F13"/>
    <mergeCell ref="B14:B18"/>
    <mergeCell ref="D14:D18"/>
    <mergeCell ref="E14:E18"/>
    <mergeCell ref="F14:F18"/>
  </mergeCells>
  <hyperlinks>
    <hyperlink ref="A2" r:id="rId1" display="https://www.scoresandodds.com/nfl/odds" xr:uid="{B52FE5F7-3288-4BB5-81C4-885E97BF51A3}"/>
    <hyperlink ref="A3" r:id="rId2" display="https://www.scoresandodds.com/nfl/consensus-picks" xr:uid="{F11C4ED8-FC61-4776-AC11-9E8ADD315AD1}"/>
    <hyperlink ref="A4" r:id="rId3" display="https://www.scoresandodds.com/nfl/more-lines" xr:uid="{9E544015-8759-4C3A-AB53-8AB1893DB5D6}"/>
    <hyperlink ref="A5" r:id="rId4" display="https://www.scoresandodds.com/nfl/props" xr:uid="{E0563A27-7BC8-42C9-B1FE-84A4640096BB}"/>
    <hyperlink ref="A6" r:id="rId5" display="https://www.scoresandodds.com/nfl/parlays" xr:uid="{A4A2DB9F-32E8-40C6-88E3-F0026C95D62B}"/>
    <hyperlink ref="A7" r:id="rId6" display="https://www.scoresandodds.com/nfl/picks" xr:uid="{9BF32C14-500B-4236-A67C-902341BE20B0}"/>
    <hyperlink ref="A10" r:id="rId7" display="https://www.scoresandodds.com/nfl/teams/cowboys" xr:uid="{351E8E55-C69B-4E43-B90A-1656A7160804}"/>
    <hyperlink ref="A15" r:id="rId8" display="https://www.scoresandodds.com/nfl/teams/lions" xr:uid="{A460D37F-9E86-46DD-BB6F-0CF40B0D5657}"/>
    <hyperlink ref="A24" r:id="rId9" display="https://www.scoresandodds.com/nfl/teams/colts" xr:uid="{360D4E99-3913-4B89-8464-04089CE67330}"/>
    <hyperlink ref="A29" r:id="rId10" display="https://www.scoresandodds.com/nfl/teams/jaguars" xr:uid="{2414C1AA-CBDE-45A2-AF2F-DBE205F58A76}"/>
    <hyperlink ref="A36" r:id="rId11" display="https://www.scoresandodds.com/nfl/teams/titans" xr:uid="{57E9FDB8-F193-4189-B370-A13EDEAE21FE}"/>
    <hyperlink ref="A41" r:id="rId12" display="https://www.scoresandodds.com/nfl/teams/browns" xr:uid="{2A990671-4499-4E59-BB63-DF80518FA865}"/>
    <hyperlink ref="A48" r:id="rId13" display="https://www.scoresandodds.com/nfl/teams/commanders" xr:uid="{B0568E10-8FDD-445D-A6C3-F36AE747AA1D}"/>
    <hyperlink ref="A53" r:id="rId14" display="https://www.scoresandodds.com/nfl/teams/vikings" xr:uid="{716A75BD-447E-44DE-A507-4076C6FB97F2}"/>
    <hyperlink ref="A60" r:id="rId15" display="https://www.scoresandodds.com/nfl/teams/bengals" xr:uid="{BA2CE5F3-C5B0-4906-88AA-FB61B9CA6E6D}"/>
    <hyperlink ref="A65" r:id="rId16" display="https://www.scoresandodds.com/nfl/teams/bills" xr:uid="{FBF6AC64-B9FE-4BE5-A6E5-1692F3AA8D1F}"/>
    <hyperlink ref="A72" r:id="rId17" display="https://www.scoresandodds.com/nfl/teams/saints" xr:uid="{6E2994F9-8A46-465A-A9FB-F53E2DDF8348}"/>
    <hyperlink ref="A77" r:id="rId18" display="https://www.scoresandodds.com/nfl/teams/buccaneers" xr:uid="{58F45719-2217-4A36-B4D0-A964800694A4}"/>
    <hyperlink ref="A84" r:id="rId19" display="https://www.scoresandodds.com/nfl/teams/steelers" xr:uid="{FB96AE87-AC00-443D-82D9-3C3256FD3FB7}"/>
    <hyperlink ref="A89" r:id="rId20" display="https://www.scoresandodds.com/nfl/teams/ravens" xr:uid="{520CC11C-2277-42A2-8444-75A94DFA6AD9}"/>
    <hyperlink ref="A96" r:id="rId21" display="https://www.scoresandodds.com/nfl/teams/seahawks" xr:uid="{3B841DC5-1F00-4774-8593-D0E527BC9F5A}"/>
    <hyperlink ref="A101" r:id="rId22" display="https://www.scoresandodds.com/nfl/teams/falcons" xr:uid="{A35FEE3D-E733-4922-9A7B-6F2A7ACA62F2}"/>
    <hyperlink ref="A108" r:id="rId23" display="https://www.scoresandodds.com/nfl/teams/dolphins" xr:uid="{4204C2D1-DF5F-4893-B468-70A17D89A8E1}"/>
    <hyperlink ref="A113" r:id="rId24" display="https://www.scoresandodds.com/nfl/teams/jets" xr:uid="{D4DCC223-E2B4-4C9B-AF19-3EED9CC21533}"/>
    <hyperlink ref="A120" r:id="rId25" display="https://www.scoresandodds.com/nfl/teams/broncos" xr:uid="{105EADF3-7F2A-40C0-A5D6-3FC7C62D8122}"/>
    <hyperlink ref="A125" r:id="rId26" display="https://www.scoresandodds.com/nfl/teams/raiders" xr:uid="{976ECB62-2D40-4831-BD6B-EE5362A52997}"/>
    <hyperlink ref="A132" r:id="rId27" display="https://www.scoresandodds.com/nfl/teams/rams" xr:uid="{FB0DCAC6-267C-4F57-80C4-6759EB0F20F1}"/>
    <hyperlink ref="A137" r:id="rId28" display="https://www.scoresandodds.com/nfl/teams/cardinals" xr:uid="{444B6D01-653E-4568-85BB-AD525D753D87}"/>
    <hyperlink ref="A144" r:id="rId29" display="https://www.scoresandodds.com/nfl/teams/bears" xr:uid="{2F297824-FA2D-413F-9D15-6D028DDD4192}"/>
    <hyperlink ref="A149" r:id="rId30" display="https://www.scoresandodds.com/nfl/teams/packers" xr:uid="{1AC27D8A-09F8-4336-B5EB-41997F14DD1F}"/>
    <hyperlink ref="A156" r:id="rId31" display="https://www.scoresandodds.com/nfl/teams/texans" xr:uid="{36C32892-0CBA-464F-AADE-3489811EE77F}"/>
    <hyperlink ref="A161" r:id="rId32" display="https://www.scoresandodds.com/nfl/teams/chiefs" xr:uid="{8DB56BAB-BD36-4FC5-844E-4584EF5949F8}"/>
    <hyperlink ref="A169" r:id="rId33" display="https://www.scoresandodds.com/nfl/teams/eagles" xr:uid="{AEC6AC01-D10A-4B1D-9504-801E543865D8}"/>
    <hyperlink ref="A174" r:id="rId34" display="https://www.scoresandodds.com/nfl/teams/chargers" xr:uid="{A4B6B7CD-0D93-4EAE-89FF-2FAB262D1134}"/>
  </hyperlinks>
  <pageMargins left="0.7" right="0.7" top="0.75" bottom="0.75" header="0.3" footer="0.3"/>
  <drawing r:id="rId3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3B007-493C-4675-95E9-1308C59CD845}">
  <dimension ref="A1:F201"/>
  <sheetViews>
    <sheetView workbookViewId="0">
      <selection sqref="A1:F201"/>
    </sheetView>
  </sheetViews>
  <sheetFormatPr baseColWidth="10" defaultRowHeight="15" x14ac:dyDescent="0.25"/>
  <cols>
    <col min="1" max="1" width="70.5703125" bestFit="1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3" spans="1:6" x14ac:dyDescent="0.25">
      <c r="A3" s="2" t="s">
        <v>2</v>
      </c>
    </row>
    <row r="4" spans="1:6" x14ac:dyDescent="0.25">
      <c r="A4" s="2" t="s">
        <v>3</v>
      </c>
    </row>
    <row r="5" spans="1:6" x14ac:dyDescent="0.25">
      <c r="A5" s="2" t="s">
        <v>4</v>
      </c>
    </row>
    <row r="6" spans="1:6" x14ac:dyDescent="0.25">
      <c r="A6" s="2" t="s">
        <v>5</v>
      </c>
    </row>
    <row r="7" spans="1:6" x14ac:dyDescent="0.25">
      <c r="A7" s="2" t="s">
        <v>6</v>
      </c>
    </row>
    <row r="8" spans="1:6" ht="15.75" thickBot="1" x14ac:dyDescent="0.3">
      <c r="A8" s="3" t="s">
        <v>252</v>
      </c>
      <c r="B8" s="4"/>
      <c r="C8" s="4" t="s">
        <v>8</v>
      </c>
      <c r="D8" s="4" t="s">
        <v>9</v>
      </c>
      <c r="E8" s="4" t="s">
        <v>10</v>
      </c>
      <c r="F8" s="4" t="s">
        <v>11</v>
      </c>
    </row>
    <row r="9" spans="1:6" x14ac:dyDescent="0.25">
      <c r="A9" s="5">
        <v>451</v>
      </c>
      <c r="B9" s="25">
        <v>29</v>
      </c>
      <c r="C9" s="8" t="s">
        <v>185</v>
      </c>
      <c r="D9" s="16">
        <f>6-108</f>
        <v>-102</v>
      </c>
      <c r="E9" s="16" t="s">
        <v>185</v>
      </c>
      <c r="F9" s="16">
        <v>230</v>
      </c>
    </row>
    <row r="10" spans="1:6" x14ac:dyDescent="0.25">
      <c r="A10" s="6" t="s">
        <v>253</v>
      </c>
      <c r="B10" s="24"/>
      <c r="C10" s="8"/>
      <c r="D10" s="15"/>
      <c r="E10" s="15"/>
      <c r="F10" s="15"/>
    </row>
    <row r="11" spans="1:6" x14ac:dyDescent="0.25">
      <c r="A11" s="7"/>
      <c r="B11" s="24"/>
      <c r="C11" s="8" t="s">
        <v>185</v>
      </c>
      <c r="D11" s="15"/>
      <c r="E11" s="15"/>
      <c r="F11" s="15"/>
    </row>
    <row r="12" spans="1:6" x14ac:dyDescent="0.25">
      <c r="A12" s="7"/>
      <c r="B12" s="24"/>
      <c r="C12" s="8"/>
      <c r="D12" s="15"/>
      <c r="E12" s="15"/>
      <c r="F12" s="15"/>
    </row>
    <row r="13" spans="1:6" x14ac:dyDescent="0.25">
      <c r="A13" s="7"/>
      <c r="B13" s="24"/>
      <c r="C13" s="8" t="s">
        <v>185</v>
      </c>
      <c r="D13" s="15"/>
      <c r="E13" s="15"/>
      <c r="F13" s="15"/>
    </row>
    <row r="14" spans="1:6" x14ac:dyDescent="0.25">
      <c r="A14" s="9">
        <v>452</v>
      </c>
      <c r="B14" s="26">
        <v>28</v>
      </c>
      <c r="C14" s="12">
        <f>-6-112</f>
        <v>-118</v>
      </c>
      <c r="D14" s="20">
        <f>-6-112</f>
        <v>-118</v>
      </c>
      <c r="E14" s="20" t="s">
        <v>187</v>
      </c>
      <c r="F14" s="20">
        <v>-285</v>
      </c>
    </row>
    <row r="15" spans="1:6" x14ac:dyDescent="0.25">
      <c r="A15" s="10" t="s">
        <v>254</v>
      </c>
      <c r="B15" s="26"/>
      <c r="C15" s="12"/>
      <c r="D15" s="20"/>
      <c r="E15" s="20"/>
      <c r="F15" s="20"/>
    </row>
    <row r="16" spans="1:6" x14ac:dyDescent="0.25">
      <c r="A16" s="11"/>
      <c r="B16" s="26"/>
      <c r="C16" s="12">
        <f>-5.5-108</f>
        <v>-113.5</v>
      </c>
      <c r="D16" s="20"/>
      <c r="E16" s="20"/>
      <c r="F16" s="20"/>
    </row>
    <row r="17" spans="1:6" x14ac:dyDescent="0.25">
      <c r="A17" s="11"/>
      <c r="B17" s="26"/>
      <c r="C17" s="12"/>
      <c r="D17" s="20"/>
      <c r="E17" s="20"/>
      <c r="F17" s="20"/>
    </row>
    <row r="18" spans="1:6" x14ac:dyDescent="0.25">
      <c r="A18" s="11"/>
      <c r="B18" s="26"/>
      <c r="C18" s="12">
        <f>-5.5-108</f>
        <v>-113.5</v>
      </c>
      <c r="D18" s="20"/>
      <c r="E18" s="20"/>
      <c r="F18" s="20"/>
    </row>
    <row r="19" spans="1:6" ht="38.25" thickBot="1" x14ac:dyDescent="0.3">
      <c r="A19" s="22" t="s">
        <v>17</v>
      </c>
    </row>
    <row r="20" spans="1:6" ht="67.5" x14ac:dyDescent="0.25">
      <c r="A20" s="27" t="s">
        <v>116</v>
      </c>
    </row>
    <row r="21" spans="1:6" x14ac:dyDescent="0.25">
      <c r="A21" s="23" t="s">
        <v>102</v>
      </c>
    </row>
    <row r="22" spans="1:6" ht="15.75" thickBot="1" x14ac:dyDescent="0.3">
      <c r="A22" s="3" t="s">
        <v>255</v>
      </c>
      <c r="B22" s="4"/>
      <c r="C22" s="4" t="s">
        <v>8</v>
      </c>
      <c r="D22" s="4" t="s">
        <v>9</v>
      </c>
      <c r="E22" s="4" t="s">
        <v>10</v>
      </c>
      <c r="F22" s="4" t="s">
        <v>11</v>
      </c>
    </row>
    <row r="23" spans="1:6" x14ac:dyDescent="0.25">
      <c r="A23" s="5">
        <v>469</v>
      </c>
      <c r="B23" s="25">
        <v>29</v>
      </c>
      <c r="C23" s="8" t="s">
        <v>257</v>
      </c>
      <c r="D23" s="16">
        <f>3-115</f>
        <v>-112</v>
      </c>
      <c r="E23" s="16" t="s">
        <v>257</v>
      </c>
      <c r="F23" s="16">
        <v>130</v>
      </c>
    </row>
    <row r="24" spans="1:6" x14ac:dyDescent="0.25">
      <c r="A24" s="6" t="s">
        <v>256</v>
      </c>
      <c r="B24" s="24"/>
      <c r="C24" s="8"/>
      <c r="D24" s="15"/>
      <c r="E24" s="15"/>
      <c r="F24" s="15"/>
    </row>
    <row r="25" spans="1:6" x14ac:dyDescent="0.25">
      <c r="A25" s="7"/>
      <c r="B25" s="24"/>
      <c r="C25" s="8" t="s">
        <v>258</v>
      </c>
      <c r="D25" s="15"/>
      <c r="E25" s="15"/>
      <c r="F25" s="15"/>
    </row>
    <row r="26" spans="1:6" x14ac:dyDescent="0.25">
      <c r="A26" s="7"/>
      <c r="B26" s="24"/>
      <c r="C26" s="8"/>
      <c r="D26" s="15"/>
      <c r="E26" s="15"/>
      <c r="F26" s="15"/>
    </row>
    <row r="27" spans="1:6" x14ac:dyDescent="0.25">
      <c r="A27" s="7"/>
      <c r="B27" s="24"/>
      <c r="C27" s="8" t="s">
        <v>259</v>
      </c>
      <c r="D27" s="15"/>
      <c r="E27" s="15"/>
      <c r="F27" s="15"/>
    </row>
    <row r="28" spans="1:6" x14ac:dyDescent="0.25">
      <c r="A28" s="9">
        <v>470</v>
      </c>
      <c r="B28" s="26">
        <v>21</v>
      </c>
      <c r="C28" s="12">
        <f>-3-105</f>
        <v>-108</v>
      </c>
      <c r="D28" s="20">
        <f>-3-105</f>
        <v>-108</v>
      </c>
      <c r="E28" s="20" t="s">
        <v>250</v>
      </c>
      <c r="F28" s="20">
        <v>-155</v>
      </c>
    </row>
    <row r="29" spans="1:6" x14ac:dyDescent="0.25">
      <c r="A29" s="10" t="s">
        <v>260</v>
      </c>
      <c r="B29" s="26"/>
      <c r="C29" s="12"/>
      <c r="D29" s="20"/>
      <c r="E29" s="20"/>
      <c r="F29" s="20"/>
    </row>
    <row r="30" spans="1:6" x14ac:dyDescent="0.25">
      <c r="A30" s="11"/>
      <c r="B30" s="26"/>
      <c r="C30" s="12">
        <f>-3-105</f>
        <v>-108</v>
      </c>
      <c r="D30" s="20"/>
      <c r="E30" s="20"/>
      <c r="F30" s="20"/>
    </row>
    <row r="31" spans="1:6" x14ac:dyDescent="0.25">
      <c r="A31" s="11"/>
      <c r="B31" s="26"/>
      <c r="C31" s="12"/>
      <c r="D31" s="20"/>
      <c r="E31" s="20"/>
      <c r="F31" s="20"/>
    </row>
    <row r="32" spans="1:6" x14ac:dyDescent="0.25">
      <c r="A32" s="11"/>
      <c r="B32" s="26"/>
      <c r="C32" s="12">
        <f>-3-105</f>
        <v>-108</v>
      </c>
      <c r="D32" s="20"/>
      <c r="E32" s="20"/>
      <c r="F32" s="20"/>
    </row>
    <row r="33" spans="1:6" ht="37.5" x14ac:dyDescent="0.25">
      <c r="A33" s="22" t="s">
        <v>17</v>
      </c>
    </row>
    <row r="34" spans="1:6" ht="15.75" thickBot="1" x14ac:dyDescent="0.3">
      <c r="A34" s="3" t="s">
        <v>255</v>
      </c>
      <c r="B34" s="4"/>
      <c r="C34" s="4" t="s">
        <v>8</v>
      </c>
      <c r="D34" s="4" t="s">
        <v>9</v>
      </c>
      <c r="E34" s="4" t="s">
        <v>10</v>
      </c>
      <c r="F34" s="4" t="s">
        <v>11</v>
      </c>
    </row>
    <row r="35" spans="1:6" x14ac:dyDescent="0.25">
      <c r="A35" s="5">
        <v>461</v>
      </c>
      <c r="B35" s="14">
        <v>3</v>
      </c>
      <c r="C35" s="8" t="s">
        <v>75</v>
      </c>
      <c r="D35" s="18">
        <f>7.5-112</f>
        <v>-104.5</v>
      </c>
      <c r="E35" s="18" t="s">
        <v>115</v>
      </c>
      <c r="F35" s="18">
        <v>295</v>
      </c>
    </row>
    <row r="36" spans="1:6" x14ac:dyDescent="0.25">
      <c r="A36" s="6" t="s">
        <v>261</v>
      </c>
      <c r="B36" s="13"/>
      <c r="C36" s="8"/>
      <c r="D36" s="17"/>
      <c r="E36" s="17"/>
      <c r="F36" s="17"/>
    </row>
    <row r="37" spans="1:6" x14ac:dyDescent="0.25">
      <c r="A37" s="7"/>
      <c r="B37" s="13"/>
      <c r="C37" s="8" t="s">
        <v>262</v>
      </c>
      <c r="D37" s="17"/>
      <c r="E37" s="17"/>
      <c r="F37" s="17"/>
    </row>
    <row r="38" spans="1:6" x14ac:dyDescent="0.25">
      <c r="A38" s="7"/>
      <c r="B38" s="13"/>
      <c r="C38" s="8"/>
      <c r="D38" s="17"/>
      <c r="E38" s="17"/>
      <c r="F38" s="17"/>
    </row>
    <row r="39" spans="1:6" x14ac:dyDescent="0.25">
      <c r="A39" s="7"/>
      <c r="B39" s="13"/>
      <c r="C39" s="8" t="s">
        <v>262</v>
      </c>
      <c r="D39" s="17"/>
      <c r="E39" s="17"/>
      <c r="F39" s="17"/>
    </row>
    <row r="40" spans="1:6" x14ac:dyDescent="0.25">
      <c r="A40" s="9">
        <v>462</v>
      </c>
      <c r="B40" s="19">
        <v>31</v>
      </c>
      <c r="C40" s="12">
        <f>-7.5-108</f>
        <v>-115.5</v>
      </c>
      <c r="D40" s="21">
        <f>-7.5-108</f>
        <v>-115.5</v>
      </c>
      <c r="E40" s="21" t="s">
        <v>75</v>
      </c>
      <c r="F40" s="21">
        <v>-380</v>
      </c>
    </row>
    <row r="41" spans="1:6" x14ac:dyDescent="0.25">
      <c r="A41" s="10" t="s">
        <v>263</v>
      </c>
      <c r="B41" s="19"/>
      <c r="C41" s="12"/>
      <c r="D41" s="21"/>
      <c r="E41" s="21"/>
      <c r="F41" s="21"/>
    </row>
    <row r="42" spans="1:6" x14ac:dyDescent="0.25">
      <c r="A42" s="11"/>
      <c r="B42" s="19"/>
      <c r="C42" s="12">
        <f>-7.5-108</f>
        <v>-115.5</v>
      </c>
      <c r="D42" s="21"/>
      <c r="E42" s="21"/>
      <c r="F42" s="21"/>
    </row>
    <row r="43" spans="1:6" x14ac:dyDescent="0.25">
      <c r="A43" s="11"/>
      <c r="B43" s="19"/>
      <c r="C43" s="12"/>
      <c r="D43" s="21"/>
      <c r="E43" s="21"/>
      <c r="F43" s="21"/>
    </row>
    <row r="44" spans="1:6" x14ac:dyDescent="0.25">
      <c r="A44" s="11"/>
      <c r="B44" s="19"/>
      <c r="C44" s="12">
        <f>-7.5-105</f>
        <v>-112.5</v>
      </c>
      <c r="D44" s="21"/>
      <c r="E44" s="21"/>
      <c r="F44" s="21"/>
    </row>
    <row r="45" spans="1:6" ht="37.5" x14ac:dyDescent="0.25">
      <c r="A45" s="22" t="s">
        <v>17</v>
      </c>
    </row>
    <row r="46" spans="1:6" ht="15.75" thickBot="1" x14ac:dyDescent="0.3">
      <c r="A46" s="3" t="s">
        <v>255</v>
      </c>
      <c r="B46" s="4"/>
      <c r="C46" s="4" t="s">
        <v>8</v>
      </c>
      <c r="D46" s="4" t="s">
        <v>9</v>
      </c>
      <c r="E46" s="4" t="s">
        <v>10</v>
      </c>
      <c r="F46" s="4" t="s">
        <v>11</v>
      </c>
    </row>
    <row r="47" spans="1:6" x14ac:dyDescent="0.25">
      <c r="A47" s="5">
        <v>467</v>
      </c>
      <c r="B47" s="25">
        <v>16</v>
      </c>
      <c r="C47" s="8" t="s">
        <v>265</v>
      </c>
      <c r="D47" s="16" t="s">
        <v>266</v>
      </c>
      <c r="E47" s="18" t="s">
        <v>265</v>
      </c>
      <c r="F47" s="16">
        <v>210</v>
      </c>
    </row>
    <row r="48" spans="1:6" x14ac:dyDescent="0.25">
      <c r="A48" s="6" t="s">
        <v>264</v>
      </c>
      <c r="B48" s="24"/>
      <c r="C48" s="8"/>
      <c r="D48" s="15"/>
      <c r="E48" s="17"/>
      <c r="F48" s="15"/>
    </row>
    <row r="49" spans="1:6" x14ac:dyDescent="0.25">
      <c r="A49" s="7"/>
      <c r="B49" s="24"/>
      <c r="C49" s="8" t="s">
        <v>265</v>
      </c>
      <c r="D49" s="15"/>
      <c r="E49" s="17"/>
      <c r="F49" s="15"/>
    </row>
    <row r="50" spans="1:6" x14ac:dyDescent="0.25">
      <c r="A50" s="7"/>
      <c r="B50" s="24"/>
      <c r="C50" s="8"/>
      <c r="D50" s="15"/>
      <c r="E50" s="17"/>
      <c r="F50" s="15"/>
    </row>
    <row r="51" spans="1:6" x14ac:dyDescent="0.25">
      <c r="A51" s="7"/>
      <c r="B51" s="24"/>
      <c r="C51" s="8" t="s">
        <v>265</v>
      </c>
      <c r="D51" s="15"/>
      <c r="E51" s="17"/>
      <c r="F51" s="15"/>
    </row>
    <row r="52" spans="1:6" x14ac:dyDescent="0.25">
      <c r="A52" s="9">
        <v>468</v>
      </c>
      <c r="B52" s="26">
        <v>13</v>
      </c>
      <c r="C52" s="12">
        <f>-5.5-120</f>
        <v>-125.5</v>
      </c>
      <c r="D52" s="20">
        <f>-5.5-120</f>
        <v>-125.5</v>
      </c>
      <c r="E52" s="21" t="s">
        <v>219</v>
      </c>
      <c r="F52" s="20">
        <v>-265</v>
      </c>
    </row>
    <row r="53" spans="1:6" x14ac:dyDescent="0.25">
      <c r="A53" s="10" t="s">
        <v>267</v>
      </c>
      <c r="B53" s="26"/>
      <c r="C53" s="12"/>
      <c r="D53" s="20"/>
      <c r="E53" s="21"/>
      <c r="F53" s="20"/>
    </row>
    <row r="54" spans="1:6" x14ac:dyDescent="0.25">
      <c r="A54" s="11"/>
      <c r="B54" s="26"/>
      <c r="C54" s="12">
        <f>-6-108</f>
        <v>-114</v>
      </c>
      <c r="D54" s="20"/>
      <c r="E54" s="21"/>
      <c r="F54" s="20"/>
    </row>
    <row r="55" spans="1:6" x14ac:dyDescent="0.25">
      <c r="A55" s="11"/>
      <c r="B55" s="26"/>
      <c r="C55" s="12"/>
      <c r="D55" s="20"/>
      <c r="E55" s="21"/>
      <c r="F55" s="20"/>
    </row>
    <row r="56" spans="1:6" x14ac:dyDescent="0.25">
      <c r="A56" s="11"/>
      <c r="B56" s="26"/>
      <c r="C56" s="12">
        <f>-6-108</f>
        <v>-114</v>
      </c>
      <c r="D56" s="20"/>
      <c r="E56" s="21"/>
      <c r="F56" s="20"/>
    </row>
    <row r="57" spans="1:6" ht="37.5" x14ac:dyDescent="0.25">
      <c r="A57" s="22" t="s">
        <v>17</v>
      </c>
    </row>
    <row r="58" spans="1:6" ht="15.75" thickBot="1" x14ac:dyDescent="0.3">
      <c r="A58" s="3" t="s">
        <v>255</v>
      </c>
      <c r="B58" s="4"/>
      <c r="C58" s="4" t="s">
        <v>8</v>
      </c>
      <c r="D58" s="4" t="s">
        <v>9</v>
      </c>
      <c r="E58" s="4" t="s">
        <v>10</v>
      </c>
      <c r="F58" s="4" t="s">
        <v>11</v>
      </c>
    </row>
    <row r="59" spans="1:6" x14ac:dyDescent="0.25">
      <c r="A59" s="5">
        <v>459</v>
      </c>
      <c r="B59" s="14">
        <v>20</v>
      </c>
      <c r="C59" s="8" t="s">
        <v>269</v>
      </c>
      <c r="D59" s="18">
        <f>13.5-105</f>
        <v>-91.5</v>
      </c>
      <c r="E59" s="16" t="s">
        <v>270</v>
      </c>
      <c r="F59" s="18">
        <v>650</v>
      </c>
    </row>
    <row r="60" spans="1:6" x14ac:dyDescent="0.25">
      <c r="A60" s="6" t="s">
        <v>268</v>
      </c>
      <c r="B60" s="13"/>
      <c r="C60" s="8"/>
      <c r="D60" s="17"/>
      <c r="E60" s="15"/>
      <c r="F60" s="17"/>
    </row>
    <row r="61" spans="1:6" x14ac:dyDescent="0.25">
      <c r="A61" s="7"/>
      <c r="B61" s="13"/>
      <c r="C61" s="8" t="s">
        <v>269</v>
      </c>
      <c r="D61" s="17"/>
      <c r="E61" s="15"/>
      <c r="F61" s="17"/>
    </row>
    <row r="62" spans="1:6" x14ac:dyDescent="0.25">
      <c r="A62" s="7"/>
      <c r="B62" s="13"/>
      <c r="C62" s="8"/>
      <c r="D62" s="17"/>
      <c r="E62" s="15"/>
      <c r="F62" s="17"/>
    </row>
    <row r="63" spans="1:6" x14ac:dyDescent="0.25">
      <c r="A63" s="7"/>
      <c r="B63" s="13"/>
      <c r="C63" s="8" t="s">
        <v>269</v>
      </c>
      <c r="D63" s="17"/>
      <c r="E63" s="15"/>
      <c r="F63" s="17"/>
    </row>
    <row r="64" spans="1:6" x14ac:dyDescent="0.25">
      <c r="A64" s="9">
        <v>460</v>
      </c>
      <c r="B64" s="19">
        <v>48</v>
      </c>
      <c r="C64" s="12">
        <f>-13.5-115</f>
        <v>-128.5</v>
      </c>
      <c r="D64" s="21">
        <f>-13.5-115</f>
        <v>-128.5</v>
      </c>
      <c r="E64" s="20" t="s">
        <v>269</v>
      </c>
      <c r="F64" s="21">
        <v>-950</v>
      </c>
    </row>
    <row r="65" spans="1:6" x14ac:dyDescent="0.25">
      <c r="A65" s="10" t="s">
        <v>271</v>
      </c>
      <c r="B65" s="19"/>
      <c r="C65" s="12"/>
      <c r="D65" s="21"/>
      <c r="E65" s="20"/>
      <c r="F65" s="21"/>
    </row>
    <row r="66" spans="1:6" x14ac:dyDescent="0.25">
      <c r="A66" s="11"/>
      <c r="B66" s="19"/>
      <c r="C66" s="12">
        <f>-14-105</f>
        <v>-119</v>
      </c>
      <c r="D66" s="21"/>
      <c r="E66" s="20"/>
      <c r="F66" s="21"/>
    </row>
    <row r="67" spans="1:6" x14ac:dyDescent="0.25">
      <c r="A67" s="11"/>
      <c r="B67" s="19"/>
      <c r="C67" s="12"/>
      <c r="D67" s="21"/>
      <c r="E67" s="20"/>
      <c r="F67" s="21"/>
    </row>
    <row r="68" spans="1:6" x14ac:dyDescent="0.25">
      <c r="A68" s="11"/>
      <c r="B68" s="19"/>
      <c r="C68" s="12">
        <f>-13.5-115</f>
        <v>-128.5</v>
      </c>
      <c r="D68" s="21"/>
      <c r="E68" s="20"/>
      <c r="F68" s="21"/>
    </row>
    <row r="69" spans="1:6" ht="37.5" x14ac:dyDescent="0.25">
      <c r="A69" s="22" t="s">
        <v>17</v>
      </c>
    </row>
    <row r="70" spans="1:6" ht="15.75" thickBot="1" x14ac:dyDescent="0.3">
      <c r="A70" s="3" t="s">
        <v>255</v>
      </c>
      <c r="B70" s="4"/>
      <c r="C70" s="4" t="s">
        <v>8</v>
      </c>
      <c r="D70" s="4" t="s">
        <v>9</v>
      </c>
      <c r="E70" s="4" t="s">
        <v>10</v>
      </c>
      <c r="F70" s="4" t="s">
        <v>11</v>
      </c>
    </row>
    <row r="71" spans="1:6" x14ac:dyDescent="0.25">
      <c r="A71" s="5">
        <v>457</v>
      </c>
      <c r="B71" s="14">
        <v>0</v>
      </c>
      <c r="C71" s="8" t="s">
        <v>273</v>
      </c>
      <c r="D71" s="18">
        <f>12.5-108</f>
        <v>-95.5</v>
      </c>
      <c r="E71" s="18" t="s">
        <v>273</v>
      </c>
      <c r="F71" s="18">
        <v>625</v>
      </c>
    </row>
    <row r="72" spans="1:6" x14ac:dyDescent="0.25">
      <c r="A72" s="6" t="s">
        <v>272</v>
      </c>
      <c r="B72" s="13"/>
      <c r="C72" s="8"/>
      <c r="D72" s="17"/>
      <c r="E72" s="17"/>
      <c r="F72" s="17"/>
    </row>
    <row r="73" spans="1:6" x14ac:dyDescent="0.25">
      <c r="A73" s="7"/>
      <c r="B73" s="13"/>
      <c r="C73" s="8" t="s">
        <v>55</v>
      </c>
      <c r="D73" s="17"/>
      <c r="E73" s="17"/>
      <c r="F73" s="17"/>
    </row>
    <row r="74" spans="1:6" x14ac:dyDescent="0.25">
      <c r="A74" s="7"/>
      <c r="B74" s="13"/>
      <c r="C74" s="8"/>
      <c r="D74" s="17"/>
      <c r="E74" s="17"/>
      <c r="F74" s="17"/>
    </row>
    <row r="75" spans="1:6" x14ac:dyDescent="0.25">
      <c r="A75" s="7"/>
      <c r="B75" s="13"/>
      <c r="C75" s="8" t="s">
        <v>274</v>
      </c>
      <c r="D75" s="17"/>
      <c r="E75" s="17"/>
      <c r="F75" s="17"/>
    </row>
    <row r="76" spans="1:6" x14ac:dyDescent="0.25">
      <c r="A76" s="9">
        <v>458</v>
      </c>
      <c r="B76" s="19">
        <v>31</v>
      </c>
      <c r="C76" s="12">
        <f>-12.5-112</f>
        <v>-124.5</v>
      </c>
      <c r="D76" s="21">
        <f>-12.5-112</f>
        <v>-124.5</v>
      </c>
      <c r="E76" s="21" t="s">
        <v>276</v>
      </c>
      <c r="F76" s="21">
        <v>-850</v>
      </c>
    </row>
    <row r="77" spans="1:6" x14ac:dyDescent="0.25">
      <c r="A77" s="10" t="s">
        <v>275</v>
      </c>
      <c r="B77" s="19"/>
      <c r="C77" s="12"/>
      <c r="D77" s="21"/>
      <c r="E77" s="21"/>
      <c r="F77" s="21"/>
    </row>
    <row r="78" spans="1:6" x14ac:dyDescent="0.25">
      <c r="A78" s="11"/>
      <c r="B78" s="19"/>
      <c r="C78" s="12">
        <f>-12.5-112</f>
        <v>-124.5</v>
      </c>
      <c r="D78" s="21"/>
      <c r="E78" s="21"/>
      <c r="F78" s="21"/>
    </row>
    <row r="79" spans="1:6" x14ac:dyDescent="0.25">
      <c r="A79" s="11"/>
      <c r="B79" s="19"/>
      <c r="C79" s="12"/>
      <c r="D79" s="21"/>
      <c r="E79" s="21"/>
      <c r="F79" s="21"/>
    </row>
    <row r="80" spans="1:6" x14ac:dyDescent="0.25">
      <c r="A80" s="11"/>
      <c r="B80" s="19"/>
      <c r="C80" s="12">
        <f>-12.5-112</f>
        <v>-124.5</v>
      </c>
      <c r="D80" s="21"/>
      <c r="E80" s="21"/>
      <c r="F80" s="21"/>
    </row>
    <row r="81" spans="1:6" ht="37.5" x14ac:dyDescent="0.25">
      <c r="A81" s="22" t="s">
        <v>17</v>
      </c>
    </row>
    <row r="82" spans="1:6" ht="15.75" thickBot="1" x14ac:dyDescent="0.3">
      <c r="A82" s="3" t="s">
        <v>255</v>
      </c>
      <c r="B82" s="4"/>
      <c r="C82" s="4" t="s">
        <v>8</v>
      </c>
      <c r="D82" s="4" t="s">
        <v>9</v>
      </c>
      <c r="E82" s="4" t="s">
        <v>10</v>
      </c>
      <c r="F82" s="4" t="s">
        <v>11</v>
      </c>
    </row>
    <row r="83" spans="1:6" x14ac:dyDescent="0.25">
      <c r="A83" s="5">
        <v>463</v>
      </c>
      <c r="B83" s="25">
        <v>35</v>
      </c>
      <c r="C83" s="8">
        <f>-2.5-110</f>
        <v>-112.5</v>
      </c>
      <c r="D83" s="16">
        <f>-2.5-110</f>
        <v>-112.5</v>
      </c>
      <c r="E83" s="16" t="s">
        <v>278</v>
      </c>
      <c r="F83" s="16">
        <v>-142</v>
      </c>
    </row>
    <row r="84" spans="1:6" x14ac:dyDescent="0.25">
      <c r="A84" s="6" t="s">
        <v>277</v>
      </c>
      <c r="B84" s="24"/>
      <c r="C84" s="8"/>
      <c r="D84" s="15"/>
      <c r="E84" s="15"/>
      <c r="F84" s="15"/>
    </row>
    <row r="85" spans="1:6" x14ac:dyDescent="0.25">
      <c r="A85" s="7"/>
      <c r="B85" s="24"/>
      <c r="C85" s="8">
        <f>-2.5-110</f>
        <v>-112.5</v>
      </c>
      <c r="D85" s="15"/>
      <c r="E85" s="15"/>
      <c r="F85" s="15"/>
    </row>
    <row r="86" spans="1:6" x14ac:dyDescent="0.25">
      <c r="A86" s="7"/>
      <c r="B86" s="24"/>
      <c r="C86" s="8"/>
      <c r="D86" s="15"/>
      <c r="E86" s="15"/>
      <c r="F86" s="15"/>
    </row>
    <row r="87" spans="1:6" x14ac:dyDescent="0.25">
      <c r="A87" s="7"/>
      <c r="B87" s="24"/>
      <c r="C87" s="8">
        <f>-2.5-102</f>
        <v>-104.5</v>
      </c>
      <c r="D87" s="15"/>
      <c r="E87" s="15"/>
      <c r="F87" s="15"/>
    </row>
    <row r="88" spans="1:6" x14ac:dyDescent="0.25">
      <c r="A88" s="9">
        <v>464</v>
      </c>
      <c r="B88" s="26">
        <v>31</v>
      </c>
      <c r="C88" s="12" t="s">
        <v>280</v>
      </c>
      <c r="D88" s="20">
        <f>2.5-110</f>
        <v>-107.5</v>
      </c>
      <c r="E88" s="20" t="s">
        <v>280</v>
      </c>
      <c r="F88" s="20">
        <v>120</v>
      </c>
    </row>
    <row r="89" spans="1:6" x14ac:dyDescent="0.25">
      <c r="A89" s="10" t="s">
        <v>279</v>
      </c>
      <c r="B89" s="26"/>
      <c r="C89" s="12"/>
      <c r="D89" s="20"/>
      <c r="E89" s="20"/>
      <c r="F89" s="20"/>
    </row>
    <row r="90" spans="1:6" x14ac:dyDescent="0.25">
      <c r="A90" s="11"/>
      <c r="B90" s="26"/>
      <c r="C90" s="12" t="s">
        <v>281</v>
      </c>
      <c r="D90" s="20"/>
      <c r="E90" s="20"/>
      <c r="F90" s="20"/>
    </row>
    <row r="91" spans="1:6" x14ac:dyDescent="0.25">
      <c r="A91" s="11"/>
      <c r="B91" s="26"/>
      <c r="C91" s="12"/>
      <c r="D91" s="20"/>
      <c r="E91" s="20"/>
      <c r="F91" s="20"/>
    </row>
    <row r="92" spans="1:6" x14ac:dyDescent="0.25">
      <c r="A92" s="11"/>
      <c r="B92" s="26"/>
      <c r="C92" s="12" t="s">
        <v>281</v>
      </c>
      <c r="D92" s="20"/>
      <c r="E92" s="20"/>
      <c r="F92" s="20"/>
    </row>
    <row r="93" spans="1:6" ht="37.5" x14ac:dyDescent="0.25">
      <c r="A93" s="22" t="s">
        <v>17</v>
      </c>
    </row>
    <row r="94" spans="1:6" ht="15.75" thickBot="1" x14ac:dyDescent="0.3">
      <c r="A94" s="3" t="s">
        <v>255</v>
      </c>
      <c r="B94" s="4"/>
      <c r="C94" s="4" t="s">
        <v>8</v>
      </c>
      <c r="D94" s="4" t="s">
        <v>9</v>
      </c>
      <c r="E94" s="4" t="s">
        <v>10</v>
      </c>
      <c r="F94" s="4" t="s">
        <v>11</v>
      </c>
    </row>
    <row r="95" spans="1:6" x14ac:dyDescent="0.25">
      <c r="A95" s="5">
        <v>455</v>
      </c>
      <c r="B95" s="14">
        <v>20</v>
      </c>
      <c r="C95" s="8" t="s">
        <v>133</v>
      </c>
      <c r="D95" s="18">
        <f>10.5-110</f>
        <v>-99.5</v>
      </c>
      <c r="E95" s="16" t="s">
        <v>130</v>
      </c>
      <c r="F95" s="18">
        <v>455</v>
      </c>
    </row>
    <row r="96" spans="1:6" x14ac:dyDescent="0.25">
      <c r="A96" s="6" t="s">
        <v>282</v>
      </c>
      <c r="B96" s="13"/>
      <c r="C96" s="8"/>
      <c r="D96" s="17"/>
      <c r="E96" s="15"/>
      <c r="F96" s="17"/>
    </row>
    <row r="97" spans="1:6" x14ac:dyDescent="0.25">
      <c r="A97" s="7"/>
      <c r="B97" s="13"/>
      <c r="C97" s="8" t="s">
        <v>283</v>
      </c>
      <c r="D97" s="17"/>
      <c r="E97" s="15"/>
      <c r="F97" s="17"/>
    </row>
    <row r="98" spans="1:6" x14ac:dyDescent="0.25">
      <c r="A98" s="7"/>
      <c r="B98" s="13"/>
      <c r="C98" s="8"/>
      <c r="D98" s="17"/>
      <c r="E98" s="15"/>
      <c r="F98" s="17"/>
    </row>
    <row r="99" spans="1:6" x14ac:dyDescent="0.25">
      <c r="A99" s="7"/>
      <c r="B99" s="13"/>
      <c r="C99" s="8" t="s">
        <v>283</v>
      </c>
      <c r="D99" s="17"/>
      <c r="E99" s="15"/>
      <c r="F99" s="17"/>
    </row>
    <row r="100" spans="1:6" x14ac:dyDescent="0.25">
      <c r="A100" s="9">
        <v>456</v>
      </c>
      <c r="B100" s="19">
        <v>40</v>
      </c>
      <c r="C100" s="12">
        <f>-10.5-110</f>
        <v>-120.5</v>
      </c>
      <c r="D100" s="21">
        <f>-10.5-110</f>
        <v>-120.5</v>
      </c>
      <c r="E100" s="20" t="s">
        <v>133</v>
      </c>
      <c r="F100" s="21">
        <v>-625</v>
      </c>
    </row>
    <row r="101" spans="1:6" x14ac:dyDescent="0.25">
      <c r="A101" s="10" t="s">
        <v>284</v>
      </c>
      <c r="B101" s="19"/>
      <c r="C101" s="12"/>
      <c r="D101" s="21"/>
      <c r="E101" s="20"/>
      <c r="F101" s="21"/>
    </row>
    <row r="102" spans="1:6" x14ac:dyDescent="0.25">
      <c r="A102" s="11"/>
      <c r="B102" s="19"/>
      <c r="C102" s="12">
        <f>-10.5-110</f>
        <v>-120.5</v>
      </c>
      <c r="D102" s="21"/>
      <c r="E102" s="20"/>
      <c r="F102" s="21"/>
    </row>
    <row r="103" spans="1:6" x14ac:dyDescent="0.25">
      <c r="A103" s="11"/>
      <c r="B103" s="19"/>
      <c r="C103" s="12"/>
      <c r="D103" s="21"/>
      <c r="E103" s="20"/>
      <c r="F103" s="21"/>
    </row>
    <row r="104" spans="1:6" x14ac:dyDescent="0.25">
      <c r="A104" s="11"/>
      <c r="B104" s="19"/>
      <c r="C104" s="12">
        <f>-10-115</f>
        <v>-125</v>
      </c>
      <c r="D104" s="21"/>
      <c r="E104" s="20"/>
      <c r="F104" s="21"/>
    </row>
    <row r="105" spans="1:6" ht="37.5" x14ac:dyDescent="0.25">
      <c r="A105" s="22" t="s">
        <v>17</v>
      </c>
    </row>
    <row r="106" spans="1:6" ht="15.75" thickBot="1" x14ac:dyDescent="0.3">
      <c r="A106" s="3" t="s">
        <v>255</v>
      </c>
      <c r="B106" s="4"/>
      <c r="C106" s="4" t="s">
        <v>8</v>
      </c>
      <c r="D106" s="4" t="s">
        <v>9</v>
      </c>
      <c r="E106" s="4" t="s">
        <v>10</v>
      </c>
      <c r="F106" s="4" t="s">
        <v>11</v>
      </c>
    </row>
    <row r="107" spans="1:6" x14ac:dyDescent="0.25">
      <c r="A107" s="5">
        <v>465</v>
      </c>
      <c r="B107" s="25">
        <v>24</v>
      </c>
      <c r="C107" s="8">
        <f>-2.5-122</f>
        <v>-124.5</v>
      </c>
      <c r="D107" s="16">
        <f>-2.5-122</f>
        <v>-124.5</v>
      </c>
      <c r="E107" s="18" t="s">
        <v>83</v>
      </c>
      <c r="F107" s="16">
        <v>-162</v>
      </c>
    </row>
    <row r="108" spans="1:6" x14ac:dyDescent="0.25">
      <c r="A108" s="6" t="s">
        <v>285</v>
      </c>
      <c r="B108" s="24"/>
      <c r="C108" s="8"/>
      <c r="D108" s="15"/>
      <c r="E108" s="17"/>
      <c r="F108" s="15"/>
    </row>
    <row r="109" spans="1:6" x14ac:dyDescent="0.25">
      <c r="A109" s="7"/>
      <c r="B109" s="24"/>
      <c r="C109" s="8">
        <f>-2.5-122</f>
        <v>-124.5</v>
      </c>
      <c r="D109" s="15"/>
      <c r="E109" s="17"/>
      <c r="F109" s="15"/>
    </row>
    <row r="110" spans="1:6" x14ac:dyDescent="0.25">
      <c r="A110" s="7"/>
      <c r="B110" s="24"/>
      <c r="C110" s="8"/>
      <c r="D110" s="15"/>
      <c r="E110" s="17"/>
      <c r="F110" s="15"/>
    </row>
    <row r="111" spans="1:6" x14ac:dyDescent="0.25">
      <c r="A111" s="7"/>
      <c r="B111" s="24"/>
      <c r="C111" s="8">
        <f>-2.5-122</f>
        <v>-124.5</v>
      </c>
      <c r="D111" s="15"/>
      <c r="E111" s="17"/>
      <c r="F111" s="15"/>
    </row>
    <row r="112" spans="1:6" x14ac:dyDescent="0.25">
      <c r="A112" s="9">
        <v>466</v>
      </c>
      <c r="B112" s="26">
        <v>0</v>
      </c>
      <c r="C112" s="12" t="s">
        <v>85</v>
      </c>
      <c r="D112" s="20">
        <f>2.5+105</f>
        <v>107.5</v>
      </c>
      <c r="E112" s="21" t="s">
        <v>85</v>
      </c>
      <c r="F112" s="20">
        <v>136</v>
      </c>
    </row>
    <row r="113" spans="1:6" x14ac:dyDescent="0.25">
      <c r="A113" s="10" t="s">
        <v>286</v>
      </c>
      <c r="B113" s="26"/>
      <c r="C113" s="12"/>
      <c r="D113" s="20"/>
      <c r="E113" s="21"/>
      <c r="F113" s="20"/>
    </row>
    <row r="114" spans="1:6" x14ac:dyDescent="0.25">
      <c r="A114" s="11"/>
      <c r="B114" s="26"/>
      <c r="C114" s="12" t="s">
        <v>85</v>
      </c>
      <c r="D114" s="20"/>
      <c r="E114" s="21"/>
      <c r="F114" s="20"/>
    </row>
    <row r="115" spans="1:6" x14ac:dyDescent="0.25">
      <c r="A115" s="11"/>
      <c r="B115" s="26"/>
      <c r="C115" s="12"/>
      <c r="D115" s="20"/>
      <c r="E115" s="21"/>
      <c r="F115" s="20"/>
    </row>
    <row r="116" spans="1:6" x14ac:dyDescent="0.25">
      <c r="A116" s="11"/>
      <c r="B116" s="26"/>
      <c r="C116" s="12" t="s">
        <v>85</v>
      </c>
      <c r="D116" s="20"/>
      <c r="E116" s="21"/>
      <c r="F116" s="20"/>
    </row>
    <row r="117" spans="1:6" ht="37.5" x14ac:dyDescent="0.25">
      <c r="A117" s="22" t="s">
        <v>17</v>
      </c>
    </row>
    <row r="118" spans="1:6" ht="15.75" thickBot="1" x14ac:dyDescent="0.3">
      <c r="A118" s="3" t="s">
        <v>287</v>
      </c>
      <c r="B118" s="4"/>
      <c r="C118" s="4" t="s">
        <v>8</v>
      </c>
      <c r="D118" s="4" t="s">
        <v>9</v>
      </c>
      <c r="E118" s="4" t="s">
        <v>10</v>
      </c>
      <c r="F118" s="4" t="s">
        <v>11</v>
      </c>
    </row>
    <row r="119" spans="1:6" x14ac:dyDescent="0.25">
      <c r="A119" s="5">
        <v>475</v>
      </c>
      <c r="B119" s="14">
        <v>17</v>
      </c>
      <c r="C119" s="8">
        <f>-2.5-115</f>
        <v>-117.5</v>
      </c>
      <c r="D119" s="18">
        <f>-2.5-115</f>
        <v>-117.5</v>
      </c>
      <c r="E119" s="18" t="s">
        <v>289</v>
      </c>
      <c r="F119" s="18">
        <v>-148</v>
      </c>
    </row>
    <row r="120" spans="1:6" x14ac:dyDescent="0.25">
      <c r="A120" s="6" t="s">
        <v>288</v>
      </c>
      <c r="B120" s="13"/>
      <c r="C120" s="8"/>
      <c r="D120" s="17"/>
      <c r="E120" s="17"/>
      <c r="F120" s="17"/>
    </row>
    <row r="121" spans="1:6" x14ac:dyDescent="0.25">
      <c r="A121" s="7"/>
      <c r="B121" s="13"/>
      <c r="C121" s="8">
        <f>-2.5-118</f>
        <v>-120.5</v>
      </c>
      <c r="D121" s="17"/>
      <c r="E121" s="17"/>
      <c r="F121" s="17"/>
    </row>
    <row r="122" spans="1:6" x14ac:dyDescent="0.25">
      <c r="A122" s="7"/>
      <c r="B122" s="13"/>
      <c r="C122" s="8"/>
      <c r="D122" s="17"/>
      <c r="E122" s="17"/>
      <c r="F122" s="17"/>
    </row>
    <row r="123" spans="1:6" x14ac:dyDescent="0.25">
      <c r="A123" s="7"/>
      <c r="B123" s="13"/>
      <c r="C123" s="8">
        <f>-2.5-115</f>
        <v>-117.5</v>
      </c>
      <c r="D123" s="17"/>
      <c r="E123" s="17"/>
      <c r="F123" s="17"/>
    </row>
    <row r="124" spans="1:6" x14ac:dyDescent="0.25">
      <c r="A124" s="9">
        <v>476</v>
      </c>
      <c r="B124" s="19">
        <v>20</v>
      </c>
      <c r="C124" s="12" t="s">
        <v>291</v>
      </c>
      <c r="D124" s="21">
        <f>2.5-105</f>
        <v>-102.5</v>
      </c>
      <c r="E124" s="21" t="s">
        <v>291</v>
      </c>
      <c r="F124" s="21">
        <v>124</v>
      </c>
    </row>
    <row r="125" spans="1:6" x14ac:dyDescent="0.25">
      <c r="A125" s="10" t="s">
        <v>290</v>
      </c>
      <c r="B125" s="19"/>
      <c r="C125" s="12"/>
      <c r="D125" s="21"/>
      <c r="E125" s="21"/>
      <c r="F125" s="21"/>
    </row>
    <row r="126" spans="1:6" x14ac:dyDescent="0.25">
      <c r="A126" s="11"/>
      <c r="B126" s="19"/>
      <c r="C126" s="12" t="s">
        <v>291</v>
      </c>
      <c r="D126" s="21"/>
      <c r="E126" s="21"/>
      <c r="F126" s="21"/>
    </row>
    <row r="127" spans="1:6" x14ac:dyDescent="0.25">
      <c r="A127" s="11"/>
      <c r="B127" s="19"/>
      <c r="C127" s="12"/>
      <c r="D127" s="21"/>
      <c r="E127" s="21"/>
      <c r="F127" s="21"/>
    </row>
    <row r="128" spans="1:6" x14ac:dyDescent="0.25">
      <c r="A128" s="11"/>
      <c r="B128" s="19"/>
      <c r="C128" s="12" t="s">
        <v>291</v>
      </c>
      <c r="D128" s="21"/>
      <c r="E128" s="21"/>
      <c r="F128" s="21"/>
    </row>
    <row r="129" spans="1:6" ht="37.5" x14ac:dyDescent="0.25">
      <c r="A129" s="22" t="s">
        <v>17</v>
      </c>
    </row>
    <row r="130" spans="1:6" ht="15.75" thickBot="1" x14ac:dyDescent="0.3">
      <c r="A130" s="3" t="s">
        <v>287</v>
      </c>
      <c r="B130" s="4"/>
      <c r="C130" s="4" t="s">
        <v>8</v>
      </c>
      <c r="D130" s="4" t="s">
        <v>9</v>
      </c>
      <c r="E130" s="4" t="s">
        <v>10</v>
      </c>
      <c r="F130" s="4" t="s">
        <v>11</v>
      </c>
    </row>
    <row r="131" spans="1:6" x14ac:dyDescent="0.25">
      <c r="A131" s="5">
        <v>471</v>
      </c>
      <c r="B131" s="14">
        <v>16</v>
      </c>
      <c r="C131" s="8" t="s">
        <v>265</v>
      </c>
      <c r="D131" s="16">
        <f>12.5-115</f>
        <v>-102.5</v>
      </c>
      <c r="E131" s="18" t="s">
        <v>293</v>
      </c>
      <c r="F131" s="18">
        <v>520</v>
      </c>
    </row>
    <row r="132" spans="1:6" x14ac:dyDescent="0.25">
      <c r="A132" s="6" t="s">
        <v>292</v>
      </c>
      <c r="B132" s="13"/>
      <c r="C132" s="8"/>
      <c r="D132" s="15"/>
      <c r="E132" s="17"/>
      <c r="F132" s="17"/>
    </row>
    <row r="133" spans="1:6" x14ac:dyDescent="0.25">
      <c r="A133" s="7"/>
      <c r="B133" s="13"/>
      <c r="C133" s="8" t="s">
        <v>265</v>
      </c>
      <c r="D133" s="15"/>
      <c r="E133" s="17"/>
      <c r="F133" s="17"/>
    </row>
    <row r="134" spans="1:6" x14ac:dyDescent="0.25">
      <c r="A134" s="7"/>
      <c r="B134" s="13"/>
      <c r="C134" s="8"/>
      <c r="D134" s="15"/>
      <c r="E134" s="17"/>
      <c r="F134" s="17"/>
    </row>
    <row r="135" spans="1:6" x14ac:dyDescent="0.25">
      <c r="A135" s="7"/>
      <c r="B135" s="13"/>
      <c r="C135" s="8" t="s">
        <v>265</v>
      </c>
      <c r="D135" s="15"/>
      <c r="E135" s="17"/>
      <c r="F135" s="17"/>
    </row>
    <row r="136" spans="1:6" x14ac:dyDescent="0.25">
      <c r="A136" s="9">
        <v>472</v>
      </c>
      <c r="B136" s="19">
        <v>18</v>
      </c>
      <c r="C136" s="12">
        <f>-12.5-118</f>
        <v>-130.5</v>
      </c>
      <c r="D136" s="20">
        <f>-12.5-115</f>
        <v>-127.5</v>
      </c>
      <c r="E136" s="21" t="s">
        <v>220</v>
      </c>
      <c r="F136" s="21">
        <v>-950</v>
      </c>
    </row>
    <row r="137" spans="1:6" x14ac:dyDescent="0.25">
      <c r="A137" s="10" t="s">
        <v>294</v>
      </c>
      <c r="B137" s="19"/>
      <c r="C137" s="12"/>
      <c r="D137" s="20"/>
      <c r="E137" s="21"/>
      <c r="F137" s="21"/>
    </row>
    <row r="138" spans="1:6" x14ac:dyDescent="0.25">
      <c r="A138" s="11"/>
      <c r="B138" s="19"/>
      <c r="C138" s="12">
        <f>-12.5-118</f>
        <v>-130.5</v>
      </c>
      <c r="D138" s="20"/>
      <c r="E138" s="21"/>
      <c r="F138" s="21"/>
    </row>
    <row r="139" spans="1:6" x14ac:dyDescent="0.25">
      <c r="A139" s="11"/>
      <c r="B139" s="19"/>
      <c r="C139" s="12"/>
      <c r="D139" s="20"/>
      <c r="E139" s="21"/>
      <c r="F139" s="21"/>
    </row>
    <row r="140" spans="1:6" x14ac:dyDescent="0.25">
      <c r="A140" s="11"/>
      <c r="B140" s="19"/>
      <c r="C140" s="12">
        <f>-13.5-110</f>
        <v>-123.5</v>
      </c>
      <c r="D140" s="20"/>
      <c r="E140" s="21"/>
      <c r="F140" s="21"/>
    </row>
    <row r="141" spans="1:6" ht="37.5" x14ac:dyDescent="0.25">
      <c r="A141" s="22" t="s">
        <v>17</v>
      </c>
    </row>
    <row r="142" spans="1:6" ht="15.75" thickBot="1" x14ac:dyDescent="0.3">
      <c r="A142" s="3" t="s">
        <v>287</v>
      </c>
      <c r="B142" s="4"/>
      <c r="C142" s="4" t="s">
        <v>8</v>
      </c>
      <c r="D142" s="4" t="s">
        <v>9</v>
      </c>
      <c r="E142" s="4" t="s">
        <v>10</v>
      </c>
      <c r="F142" s="4" t="s">
        <v>11</v>
      </c>
    </row>
    <row r="143" spans="1:6" x14ac:dyDescent="0.25">
      <c r="A143" s="5">
        <v>477</v>
      </c>
      <c r="B143" s="14">
        <v>34</v>
      </c>
      <c r="C143" s="8" t="s">
        <v>296</v>
      </c>
      <c r="D143" s="18">
        <f>5.5-105</f>
        <v>-99.5</v>
      </c>
      <c r="E143" s="16" t="s">
        <v>296</v>
      </c>
      <c r="F143" s="18">
        <v>200</v>
      </c>
    </row>
    <row r="144" spans="1:6" x14ac:dyDescent="0.25">
      <c r="A144" s="6" t="s">
        <v>295</v>
      </c>
      <c r="B144" s="13"/>
      <c r="C144" s="8"/>
      <c r="D144" s="17"/>
      <c r="E144" s="15"/>
      <c r="F144" s="17"/>
    </row>
    <row r="145" spans="1:6" x14ac:dyDescent="0.25">
      <c r="A145" s="7"/>
      <c r="B145" s="13"/>
      <c r="C145" s="8" t="s">
        <v>297</v>
      </c>
      <c r="D145" s="17"/>
      <c r="E145" s="15"/>
      <c r="F145" s="17"/>
    </row>
    <row r="146" spans="1:6" x14ac:dyDescent="0.25">
      <c r="A146" s="7"/>
      <c r="B146" s="13"/>
      <c r="C146" s="8"/>
      <c r="D146" s="17"/>
      <c r="E146" s="15"/>
      <c r="F146" s="17"/>
    </row>
    <row r="147" spans="1:6" x14ac:dyDescent="0.25">
      <c r="A147" s="7"/>
      <c r="B147" s="13"/>
      <c r="C147" s="8" t="s">
        <v>296</v>
      </c>
      <c r="D147" s="17"/>
      <c r="E147" s="15"/>
      <c r="F147" s="17"/>
    </row>
    <row r="148" spans="1:6" x14ac:dyDescent="0.25">
      <c r="A148" s="9">
        <v>478</v>
      </c>
      <c r="B148" s="19">
        <v>41</v>
      </c>
      <c r="C148" s="12">
        <f>-5.5-115</f>
        <v>-120.5</v>
      </c>
      <c r="D148" s="21">
        <f>-5.5-115</f>
        <v>-120.5</v>
      </c>
      <c r="E148" s="20" t="s">
        <v>299</v>
      </c>
      <c r="F148" s="21">
        <v>-238</v>
      </c>
    </row>
    <row r="149" spans="1:6" x14ac:dyDescent="0.25">
      <c r="A149" s="10" t="s">
        <v>298</v>
      </c>
      <c r="B149" s="19"/>
      <c r="C149" s="12"/>
      <c r="D149" s="21"/>
      <c r="E149" s="20"/>
      <c r="F149" s="21"/>
    </row>
    <row r="150" spans="1:6" x14ac:dyDescent="0.25">
      <c r="A150" s="11"/>
      <c r="B150" s="19"/>
      <c r="C150" s="12">
        <f>-5.5-115</f>
        <v>-120.5</v>
      </c>
      <c r="D150" s="21"/>
      <c r="E150" s="20"/>
      <c r="F150" s="21"/>
    </row>
    <row r="151" spans="1:6" x14ac:dyDescent="0.25">
      <c r="A151" s="11"/>
      <c r="B151" s="19"/>
      <c r="C151" s="12"/>
      <c r="D151" s="21"/>
      <c r="E151" s="20"/>
      <c r="F151" s="21"/>
    </row>
    <row r="152" spans="1:6" x14ac:dyDescent="0.25">
      <c r="A152" s="11"/>
      <c r="B152" s="19"/>
      <c r="C152" s="12">
        <f>-5.5-115</f>
        <v>-120.5</v>
      </c>
      <c r="D152" s="21"/>
      <c r="E152" s="20"/>
      <c r="F152" s="21"/>
    </row>
    <row r="153" spans="1:6" ht="37.5" x14ac:dyDescent="0.25">
      <c r="A153" s="22" t="s">
        <v>17</v>
      </c>
    </row>
    <row r="154" spans="1:6" ht="15.75" thickBot="1" x14ac:dyDescent="0.3">
      <c r="A154" s="3" t="s">
        <v>287</v>
      </c>
      <c r="B154" s="4"/>
      <c r="C154" s="4" t="s">
        <v>8</v>
      </c>
      <c r="D154" s="4" t="s">
        <v>9</v>
      </c>
      <c r="E154" s="4" t="s">
        <v>10</v>
      </c>
      <c r="F154" s="4" t="s">
        <v>11</v>
      </c>
    </row>
    <row r="155" spans="1:6" x14ac:dyDescent="0.25">
      <c r="A155" s="5">
        <v>473</v>
      </c>
      <c r="B155" s="14">
        <v>26</v>
      </c>
      <c r="C155" s="8">
        <f>-1.5-108</f>
        <v>-109.5</v>
      </c>
      <c r="D155" s="18">
        <f>-1.5-112</f>
        <v>-113.5</v>
      </c>
      <c r="E155" s="16" t="s">
        <v>301</v>
      </c>
      <c r="F155" s="18">
        <v>-122</v>
      </c>
    </row>
    <row r="156" spans="1:6" x14ac:dyDescent="0.25">
      <c r="A156" s="6" t="s">
        <v>300</v>
      </c>
      <c r="B156" s="13"/>
      <c r="C156" s="8"/>
      <c r="D156" s="17"/>
      <c r="E156" s="15"/>
      <c r="F156" s="17"/>
    </row>
    <row r="157" spans="1:6" x14ac:dyDescent="0.25">
      <c r="A157" s="7"/>
      <c r="B157" s="13"/>
      <c r="C157" s="8">
        <f>-1.5-108</f>
        <v>-109.5</v>
      </c>
      <c r="D157" s="17"/>
      <c r="E157" s="15"/>
      <c r="F157" s="17"/>
    </row>
    <row r="158" spans="1:6" x14ac:dyDescent="0.25">
      <c r="A158" s="7"/>
      <c r="B158" s="13"/>
      <c r="C158" s="8"/>
      <c r="D158" s="17"/>
      <c r="E158" s="15"/>
      <c r="F158" s="17"/>
    </row>
    <row r="159" spans="1:6" x14ac:dyDescent="0.25">
      <c r="A159" s="7"/>
      <c r="B159" s="13"/>
      <c r="C159" s="8">
        <f>-1.5-108</f>
        <v>-109.5</v>
      </c>
      <c r="D159" s="17"/>
      <c r="E159" s="15"/>
      <c r="F159" s="17"/>
    </row>
    <row r="160" spans="1:6" x14ac:dyDescent="0.25">
      <c r="A160" s="9">
        <v>474</v>
      </c>
      <c r="B160" s="19">
        <v>34</v>
      </c>
      <c r="C160" s="12" t="s">
        <v>155</v>
      </c>
      <c r="D160" s="21">
        <f>1.5-108</f>
        <v>-106.5</v>
      </c>
      <c r="E160" s="20" t="s">
        <v>155</v>
      </c>
      <c r="F160" s="21">
        <v>102</v>
      </c>
    </row>
    <row r="161" spans="1:6" x14ac:dyDescent="0.25">
      <c r="A161" s="10" t="s">
        <v>302</v>
      </c>
      <c r="B161" s="19"/>
      <c r="C161" s="12"/>
      <c r="D161" s="21"/>
      <c r="E161" s="20"/>
      <c r="F161" s="21"/>
    </row>
    <row r="162" spans="1:6" x14ac:dyDescent="0.25">
      <c r="A162" s="11"/>
      <c r="B162" s="19"/>
      <c r="C162" s="12" t="s">
        <v>303</v>
      </c>
      <c r="D162" s="21"/>
      <c r="E162" s="20"/>
      <c r="F162" s="21"/>
    </row>
    <row r="163" spans="1:6" x14ac:dyDescent="0.25">
      <c r="A163" s="11"/>
      <c r="B163" s="19"/>
      <c r="C163" s="12"/>
      <c r="D163" s="21"/>
      <c r="E163" s="20"/>
      <c r="F163" s="21"/>
    </row>
    <row r="164" spans="1:6" x14ac:dyDescent="0.25">
      <c r="A164" s="11"/>
      <c r="B164" s="19"/>
      <c r="C164" s="12" t="s">
        <v>155</v>
      </c>
      <c r="D164" s="21"/>
      <c r="E164" s="20"/>
      <c r="F164" s="21"/>
    </row>
    <row r="165" spans="1:6" ht="37.5" x14ac:dyDescent="0.25">
      <c r="A165" s="22" t="s">
        <v>17</v>
      </c>
    </row>
    <row r="166" spans="1:6" ht="15.75" thickBot="1" x14ac:dyDescent="0.3">
      <c r="A166" s="3" t="s">
        <v>287</v>
      </c>
      <c r="B166" s="4"/>
      <c r="C166" s="4" t="s">
        <v>8</v>
      </c>
      <c r="D166" s="4" t="s">
        <v>9</v>
      </c>
      <c r="E166" s="4" t="s">
        <v>10</v>
      </c>
      <c r="F166" s="4" t="s">
        <v>11</v>
      </c>
    </row>
    <row r="167" spans="1:6" x14ac:dyDescent="0.25">
      <c r="A167" s="5">
        <v>479</v>
      </c>
      <c r="B167" s="14">
        <v>24</v>
      </c>
      <c r="C167" s="8" t="s">
        <v>207</v>
      </c>
      <c r="D167" s="18">
        <f>12.5-108</f>
        <v>-95.5</v>
      </c>
      <c r="E167" s="16" t="s">
        <v>207</v>
      </c>
      <c r="F167" s="18">
        <v>625</v>
      </c>
    </row>
    <row r="168" spans="1:6" x14ac:dyDescent="0.25">
      <c r="A168" s="6" t="s">
        <v>304</v>
      </c>
      <c r="B168" s="13"/>
      <c r="C168" s="8"/>
      <c r="D168" s="17"/>
      <c r="E168" s="15"/>
      <c r="F168" s="17"/>
    </row>
    <row r="169" spans="1:6" x14ac:dyDescent="0.25">
      <c r="A169" s="7"/>
      <c r="B169" s="13"/>
      <c r="C169" s="8" t="s">
        <v>305</v>
      </c>
      <c r="D169" s="17"/>
      <c r="E169" s="15"/>
      <c r="F169" s="17"/>
    </row>
    <row r="170" spans="1:6" x14ac:dyDescent="0.25">
      <c r="A170" s="7"/>
      <c r="B170" s="13"/>
      <c r="C170" s="8"/>
      <c r="D170" s="17"/>
      <c r="E170" s="15"/>
      <c r="F170" s="17"/>
    </row>
    <row r="171" spans="1:6" x14ac:dyDescent="0.25">
      <c r="A171" s="7"/>
      <c r="B171" s="13"/>
      <c r="C171" s="8" t="s">
        <v>192</v>
      </c>
      <c r="D171" s="17"/>
      <c r="E171" s="15"/>
      <c r="F171" s="17"/>
    </row>
    <row r="172" spans="1:6" x14ac:dyDescent="0.25">
      <c r="A172" s="9">
        <v>480</v>
      </c>
      <c r="B172" s="19">
        <v>37</v>
      </c>
      <c r="C172" s="12">
        <f>-12.5-112</f>
        <v>-124.5</v>
      </c>
      <c r="D172" s="21">
        <f>-12.5-112</f>
        <v>-124.5</v>
      </c>
      <c r="E172" s="20" t="s">
        <v>209</v>
      </c>
      <c r="F172" s="21">
        <v>-900</v>
      </c>
    </row>
    <row r="173" spans="1:6" x14ac:dyDescent="0.25">
      <c r="A173" s="10" t="s">
        <v>306</v>
      </c>
      <c r="B173" s="19"/>
      <c r="C173" s="12"/>
      <c r="D173" s="21"/>
      <c r="E173" s="20"/>
      <c r="F173" s="21"/>
    </row>
    <row r="174" spans="1:6" x14ac:dyDescent="0.25">
      <c r="A174" s="11"/>
      <c r="B174" s="19"/>
      <c r="C174" s="12">
        <f>-12.5-112</f>
        <v>-124.5</v>
      </c>
      <c r="D174" s="21"/>
      <c r="E174" s="20"/>
      <c r="F174" s="21"/>
    </row>
    <row r="175" spans="1:6" x14ac:dyDescent="0.25">
      <c r="A175" s="11"/>
      <c r="B175" s="19"/>
      <c r="C175" s="12"/>
      <c r="D175" s="21"/>
      <c r="E175" s="20"/>
      <c r="F175" s="21"/>
    </row>
    <row r="176" spans="1:6" x14ac:dyDescent="0.25">
      <c r="A176" s="11"/>
      <c r="B176" s="19"/>
      <c r="C176" s="12">
        <f>-12.5-108</f>
        <v>-120.5</v>
      </c>
      <c r="D176" s="21"/>
      <c r="E176" s="20"/>
      <c r="F176" s="21"/>
    </row>
    <row r="177" spans="1:6" ht="37.5" x14ac:dyDescent="0.25">
      <c r="A177" s="22" t="s">
        <v>17</v>
      </c>
    </row>
    <row r="178" spans="1:6" ht="15.75" thickBot="1" x14ac:dyDescent="0.3">
      <c r="A178" s="3" t="s">
        <v>307</v>
      </c>
      <c r="B178" s="4"/>
      <c r="C178" s="4" t="s">
        <v>8</v>
      </c>
      <c r="D178" s="4" t="s">
        <v>9</v>
      </c>
      <c r="E178" s="4" t="s">
        <v>10</v>
      </c>
      <c r="F178" s="4" t="s">
        <v>11</v>
      </c>
    </row>
    <row r="179" spans="1:6" x14ac:dyDescent="0.25">
      <c r="A179" s="5">
        <v>481</v>
      </c>
      <c r="B179" s="25">
        <v>34</v>
      </c>
      <c r="C179" s="8" t="s">
        <v>309</v>
      </c>
      <c r="D179" s="16">
        <f>5.5-108</f>
        <v>-102.5</v>
      </c>
      <c r="E179" s="16" t="s">
        <v>309</v>
      </c>
      <c r="F179" s="16">
        <v>215</v>
      </c>
    </row>
    <row r="180" spans="1:6" x14ac:dyDescent="0.25">
      <c r="A180" s="6" t="s">
        <v>308</v>
      </c>
      <c r="B180" s="24"/>
      <c r="C180" s="8"/>
      <c r="D180" s="15"/>
      <c r="E180" s="15"/>
      <c r="F180" s="15"/>
    </row>
    <row r="181" spans="1:6" x14ac:dyDescent="0.25">
      <c r="A181" s="7"/>
      <c r="B181" s="24"/>
      <c r="C181" s="8" t="s">
        <v>310</v>
      </c>
      <c r="D181" s="15"/>
      <c r="E181" s="15"/>
      <c r="F181" s="15"/>
    </row>
    <row r="182" spans="1:6" x14ac:dyDescent="0.25">
      <c r="A182" s="7"/>
      <c r="B182" s="24"/>
      <c r="C182" s="8"/>
      <c r="D182" s="15"/>
      <c r="E182" s="15"/>
      <c r="F182" s="15"/>
    </row>
    <row r="183" spans="1:6" x14ac:dyDescent="0.25">
      <c r="A183" s="7"/>
      <c r="B183" s="24"/>
      <c r="C183" s="8" t="s">
        <v>21</v>
      </c>
      <c r="D183" s="15"/>
      <c r="E183" s="15"/>
      <c r="F183" s="15"/>
    </row>
    <row r="184" spans="1:6" x14ac:dyDescent="0.25">
      <c r="A184" s="9">
        <v>482</v>
      </c>
      <c r="B184" s="26">
        <v>26</v>
      </c>
      <c r="C184" s="12">
        <f>-5.5-112</f>
        <v>-117.5</v>
      </c>
      <c r="D184" s="20">
        <f>-5.5-112</f>
        <v>-117.5</v>
      </c>
      <c r="E184" s="20" t="s">
        <v>312</v>
      </c>
      <c r="F184" s="20">
        <v>-270</v>
      </c>
    </row>
    <row r="185" spans="1:6" x14ac:dyDescent="0.25">
      <c r="A185" s="10" t="s">
        <v>311</v>
      </c>
      <c r="B185" s="26"/>
      <c r="C185" s="12"/>
      <c r="D185" s="20"/>
      <c r="E185" s="20"/>
      <c r="F185" s="20"/>
    </row>
    <row r="186" spans="1:6" x14ac:dyDescent="0.25">
      <c r="A186" s="11"/>
      <c r="B186" s="26"/>
      <c r="C186" s="12">
        <f>-5.5-112</f>
        <v>-117.5</v>
      </c>
      <c r="D186" s="20"/>
      <c r="E186" s="20"/>
      <c r="F186" s="20"/>
    </row>
    <row r="187" spans="1:6" x14ac:dyDescent="0.25">
      <c r="A187" s="11"/>
      <c r="B187" s="26"/>
      <c r="C187" s="12"/>
      <c r="D187" s="20"/>
      <c r="E187" s="20"/>
      <c r="F187" s="20"/>
    </row>
    <row r="188" spans="1:6" x14ac:dyDescent="0.25">
      <c r="A188" s="11"/>
      <c r="B188" s="26"/>
      <c r="C188" s="12">
        <f>-5.5-112</f>
        <v>-117.5</v>
      </c>
      <c r="D188" s="20"/>
      <c r="E188" s="20"/>
      <c r="F188" s="20"/>
    </row>
    <row r="189" spans="1:6" ht="38.25" thickBot="1" x14ac:dyDescent="0.3">
      <c r="A189" s="22" t="s">
        <v>17</v>
      </c>
    </row>
    <row r="190" spans="1:6" ht="56.25" x14ac:dyDescent="0.25">
      <c r="A190" s="27" t="s">
        <v>174</v>
      </c>
    </row>
    <row r="191" spans="1:6" ht="15.75" thickBot="1" x14ac:dyDescent="0.3">
      <c r="A191" s="3" t="s">
        <v>313</v>
      </c>
      <c r="B191" s="4"/>
      <c r="C191" s="4" t="s">
        <v>8</v>
      </c>
      <c r="D191" s="4" t="s">
        <v>9</v>
      </c>
      <c r="E191" s="4" t="s">
        <v>10</v>
      </c>
      <c r="F191" s="4" t="s">
        <v>11</v>
      </c>
    </row>
    <row r="192" spans="1:6" x14ac:dyDescent="0.25">
      <c r="A192" s="5">
        <v>483</v>
      </c>
      <c r="B192" s="14">
        <v>15</v>
      </c>
      <c r="C192" s="8" t="s">
        <v>315</v>
      </c>
      <c r="D192" s="18">
        <f>3.5-125</f>
        <v>-121.5</v>
      </c>
      <c r="E192" s="18" t="s">
        <v>185</v>
      </c>
      <c r="F192" s="18">
        <v>140</v>
      </c>
    </row>
    <row r="193" spans="1:6" x14ac:dyDescent="0.25">
      <c r="A193" s="6" t="s">
        <v>314</v>
      </c>
      <c r="B193" s="13"/>
      <c r="C193" s="8"/>
      <c r="D193" s="17"/>
      <c r="E193" s="17"/>
      <c r="F193" s="17"/>
    </row>
    <row r="194" spans="1:6" x14ac:dyDescent="0.25">
      <c r="A194" s="7"/>
      <c r="B194" s="13"/>
      <c r="C194" s="8" t="s">
        <v>13</v>
      </c>
      <c r="D194" s="17"/>
      <c r="E194" s="17"/>
      <c r="F194" s="17"/>
    </row>
    <row r="195" spans="1:6" x14ac:dyDescent="0.25">
      <c r="A195" s="7"/>
      <c r="B195" s="13"/>
      <c r="C195" s="8"/>
      <c r="D195" s="17"/>
      <c r="E195" s="17"/>
      <c r="F195" s="17"/>
    </row>
    <row r="196" spans="1:6" x14ac:dyDescent="0.25">
      <c r="A196" s="7"/>
      <c r="B196" s="13"/>
      <c r="C196" s="8" t="s">
        <v>316</v>
      </c>
      <c r="D196" s="17"/>
      <c r="E196" s="17"/>
      <c r="F196" s="17"/>
    </row>
    <row r="197" spans="1:6" x14ac:dyDescent="0.25">
      <c r="A197" s="9">
        <v>484</v>
      </c>
      <c r="B197" s="19">
        <v>28</v>
      </c>
      <c r="C197" s="12">
        <f>-3-118</f>
        <v>-121</v>
      </c>
      <c r="D197" s="21">
        <f>-3.5-105</f>
        <v>-108.5</v>
      </c>
      <c r="E197" s="21" t="s">
        <v>318</v>
      </c>
      <c r="F197" s="21">
        <v>-185</v>
      </c>
    </row>
    <row r="198" spans="1:6" x14ac:dyDescent="0.25">
      <c r="A198" s="10" t="s">
        <v>317</v>
      </c>
      <c r="B198" s="19"/>
      <c r="C198" s="12"/>
      <c r="D198" s="21"/>
      <c r="E198" s="21"/>
      <c r="F198" s="21"/>
    </row>
    <row r="199" spans="1:6" x14ac:dyDescent="0.25">
      <c r="A199" s="11"/>
      <c r="B199" s="19"/>
      <c r="C199" s="12">
        <f>-3-118</f>
        <v>-121</v>
      </c>
      <c r="D199" s="21"/>
      <c r="E199" s="21"/>
      <c r="F199" s="21"/>
    </row>
    <row r="200" spans="1:6" x14ac:dyDescent="0.25">
      <c r="A200" s="11"/>
      <c r="B200" s="19"/>
      <c r="C200" s="12"/>
      <c r="D200" s="21"/>
      <c r="E200" s="21"/>
      <c r="F200" s="21"/>
    </row>
    <row r="201" spans="1:6" x14ac:dyDescent="0.25">
      <c r="A201" s="11"/>
      <c r="B201" s="19"/>
      <c r="C201" s="12">
        <f>-3-118</f>
        <v>-121</v>
      </c>
      <c r="D201" s="21"/>
      <c r="E201" s="21"/>
      <c r="F201" s="21"/>
    </row>
  </sheetData>
  <mergeCells count="128">
    <mergeCell ref="B192:B196"/>
    <mergeCell ref="D192:D196"/>
    <mergeCell ref="E192:E196"/>
    <mergeCell ref="F192:F196"/>
    <mergeCell ref="B197:B201"/>
    <mergeCell ref="D197:D201"/>
    <mergeCell ref="E197:E201"/>
    <mergeCell ref="F197:F201"/>
    <mergeCell ref="B179:B183"/>
    <mergeCell ref="D179:D183"/>
    <mergeCell ref="E179:E183"/>
    <mergeCell ref="F179:F183"/>
    <mergeCell ref="B184:B188"/>
    <mergeCell ref="D184:D188"/>
    <mergeCell ref="E184:E188"/>
    <mergeCell ref="F184:F188"/>
    <mergeCell ref="B167:B171"/>
    <mergeCell ref="D167:D171"/>
    <mergeCell ref="E167:E171"/>
    <mergeCell ref="F167:F171"/>
    <mergeCell ref="B172:B176"/>
    <mergeCell ref="D172:D176"/>
    <mergeCell ref="E172:E176"/>
    <mergeCell ref="F172:F176"/>
    <mergeCell ref="B155:B159"/>
    <mergeCell ref="D155:D159"/>
    <mergeCell ref="E155:E159"/>
    <mergeCell ref="F155:F159"/>
    <mergeCell ref="B160:B164"/>
    <mergeCell ref="D160:D164"/>
    <mergeCell ref="E160:E164"/>
    <mergeCell ref="F160:F164"/>
    <mergeCell ref="B143:B147"/>
    <mergeCell ref="D143:D147"/>
    <mergeCell ref="E143:E147"/>
    <mergeCell ref="F143:F147"/>
    <mergeCell ref="B148:B152"/>
    <mergeCell ref="D148:D152"/>
    <mergeCell ref="E148:E152"/>
    <mergeCell ref="F148:F152"/>
    <mergeCell ref="B131:B135"/>
    <mergeCell ref="D131:D135"/>
    <mergeCell ref="E131:E135"/>
    <mergeCell ref="F131:F135"/>
    <mergeCell ref="B136:B140"/>
    <mergeCell ref="D136:D140"/>
    <mergeCell ref="E136:E140"/>
    <mergeCell ref="F136:F140"/>
    <mergeCell ref="B119:B123"/>
    <mergeCell ref="D119:D123"/>
    <mergeCell ref="E119:E123"/>
    <mergeCell ref="F119:F123"/>
    <mergeCell ref="B124:B128"/>
    <mergeCell ref="D124:D128"/>
    <mergeCell ref="E124:E128"/>
    <mergeCell ref="F124:F128"/>
    <mergeCell ref="B107:B111"/>
    <mergeCell ref="D107:D111"/>
    <mergeCell ref="E107:E111"/>
    <mergeCell ref="F107:F111"/>
    <mergeCell ref="B112:B116"/>
    <mergeCell ref="D112:D116"/>
    <mergeCell ref="E112:E116"/>
    <mergeCell ref="F112:F116"/>
    <mergeCell ref="B95:B99"/>
    <mergeCell ref="D95:D99"/>
    <mergeCell ref="E95:E99"/>
    <mergeCell ref="F95:F99"/>
    <mergeCell ref="B100:B104"/>
    <mergeCell ref="D100:D104"/>
    <mergeCell ref="E100:E104"/>
    <mergeCell ref="F100:F104"/>
    <mergeCell ref="B83:B87"/>
    <mergeCell ref="D83:D87"/>
    <mergeCell ref="E83:E87"/>
    <mergeCell ref="F83:F87"/>
    <mergeCell ref="B88:B92"/>
    <mergeCell ref="D88:D92"/>
    <mergeCell ref="E88:E92"/>
    <mergeCell ref="F88:F92"/>
    <mergeCell ref="B71:B75"/>
    <mergeCell ref="D71:D75"/>
    <mergeCell ref="E71:E75"/>
    <mergeCell ref="F71:F75"/>
    <mergeCell ref="B76:B80"/>
    <mergeCell ref="D76:D80"/>
    <mergeCell ref="E76:E80"/>
    <mergeCell ref="F76:F80"/>
    <mergeCell ref="B59:B63"/>
    <mergeCell ref="D59:D63"/>
    <mergeCell ref="E59:E63"/>
    <mergeCell ref="F59:F63"/>
    <mergeCell ref="B64:B68"/>
    <mergeCell ref="D64:D68"/>
    <mergeCell ref="E64:E68"/>
    <mergeCell ref="F64:F68"/>
    <mergeCell ref="B47:B51"/>
    <mergeCell ref="D47:D51"/>
    <mergeCell ref="E47:E51"/>
    <mergeCell ref="F47:F51"/>
    <mergeCell ref="B52:B56"/>
    <mergeCell ref="D52:D56"/>
    <mergeCell ref="E52:E56"/>
    <mergeCell ref="F52:F56"/>
    <mergeCell ref="B35:B39"/>
    <mergeCell ref="D35:D39"/>
    <mergeCell ref="E35:E39"/>
    <mergeCell ref="F35:F39"/>
    <mergeCell ref="B40:B44"/>
    <mergeCell ref="D40:D44"/>
    <mergeCell ref="E40:E44"/>
    <mergeCell ref="F40:F44"/>
    <mergeCell ref="B23:B27"/>
    <mergeCell ref="D23:D27"/>
    <mergeCell ref="E23:E27"/>
    <mergeCell ref="F23:F27"/>
    <mergeCell ref="B28:B32"/>
    <mergeCell ref="D28:D32"/>
    <mergeCell ref="E28:E32"/>
    <mergeCell ref="F28:F32"/>
    <mergeCell ref="B9:B13"/>
    <mergeCell ref="D9:D13"/>
    <mergeCell ref="E9:E13"/>
    <mergeCell ref="F9:F13"/>
    <mergeCell ref="B14:B18"/>
    <mergeCell ref="D14:D18"/>
    <mergeCell ref="E14:E18"/>
    <mergeCell ref="F14:F18"/>
  </mergeCells>
  <hyperlinks>
    <hyperlink ref="A2" r:id="rId1" display="https://www.scoresandodds.com/nfl/odds" xr:uid="{EC16641D-2EDA-42F6-8148-E18906EF08C2}"/>
    <hyperlink ref="A3" r:id="rId2" display="https://www.scoresandodds.com/nfl/consensus-picks" xr:uid="{EFA14207-44D5-43B0-BFBA-C68D66886453}"/>
    <hyperlink ref="A4" r:id="rId3" display="https://www.scoresandodds.com/nfl/more-lines" xr:uid="{2415E877-D3BF-42DE-A899-B12DB31671A4}"/>
    <hyperlink ref="A5" r:id="rId4" display="https://www.scoresandodds.com/nfl/props" xr:uid="{5C3BA720-96C6-4339-B7C0-8D0D531F9845}"/>
    <hyperlink ref="A6" r:id="rId5" display="https://www.scoresandodds.com/nfl/parlays" xr:uid="{3F087949-58C4-4E53-BCBD-A92EB6BE3140}"/>
    <hyperlink ref="A7" r:id="rId6" display="https://www.scoresandodds.com/nfl/picks" xr:uid="{955F0AF0-F8EB-401B-9491-61FAA5B16058}"/>
    <hyperlink ref="A10" r:id="rId7" display="https://www.scoresandodds.com/nfl/teams/falcons" xr:uid="{9A26C08E-90FB-4161-BC73-CA2D46DA27D2}"/>
    <hyperlink ref="A15" r:id="rId8" display="https://www.scoresandodds.com/nfl/teams/buccaneers" xr:uid="{8C0E25C5-C57C-4746-9FB3-7864CA79CBFB}"/>
    <hyperlink ref="A24" r:id="rId9" display="https://www.scoresandodds.com/nfl/teams/commanders" xr:uid="{C02514C1-B63E-420B-9D25-B8B1E50D7D60}"/>
    <hyperlink ref="A29" r:id="rId10" display="https://www.scoresandodds.com/nfl/teams/giants" xr:uid="{ABBB9A01-0637-4556-9D13-316D70E61566}"/>
    <hyperlink ref="A36" r:id="rId11" display="https://www.scoresandodds.com/nfl/teams/browns" xr:uid="{AC86E929-179C-454B-9E71-ABE4A06156AE}"/>
    <hyperlink ref="A41" r:id="rId12" display="https://www.scoresandodds.com/nfl/teams/bears" xr:uid="{1DA63C34-43FB-45B6-ADC6-03636A182921}"/>
    <hyperlink ref="A48" r:id="rId13" display="https://www.scoresandodds.com/nfl/teams/chargers" xr:uid="{62DBB44F-CD4E-4393-8EE0-5578C2352600}"/>
    <hyperlink ref="A53" r:id="rId14" display="https://www.scoresandodds.com/nfl/teams/chiefs" xr:uid="{E167E67D-9F93-4820-9AC3-7BEED271C3E1}"/>
    <hyperlink ref="A60" r:id="rId15" display="https://www.scoresandodds.com/nfl/teams/jets" xr:uid="{DF6C3719-BB4A-4434-BF0A-E82487B99D28}"/>
    <hyperlink ref="A65" r:id="rId16" display="https://www.scoresandodds.com/nfl/teams/jaguars" xr:uid="{F83C4CDA-CEC2-44FC-BE41-422A194A2ACF}"/>
    <hyperlink ref="A72" r:id="rId17" display="https://www.scoresandodds.com/nfl/teams/raiders" xr:uid="{65AD3642-E24C-4060-9ABB-02258CD49141}"/>
    <hyperlink ref="A77" r:id="rId18" display="https://www.scoresandodds.com/nfl/teams/eagles" xr:uid="{2069A4F4-A080-4B37-8A65-803D0DCA1767}"/>
    <hyperlink ref="A84" r:id="rId19" display="https://www.scoresandodds.com/nfl/teams/bills" xr:uid="{B29C1651-DE35-497E-B4CA-7992179C4342}"/>
    <hyperlink ref="A89" r:id="rId20" display="https://www.scoresandodds.com/nfl/teams/patriots" xr:uid="{0EB046E9-CA28-4DDA-B17A-E838340ECBB5}"/>
    <hyperlink ref="A96" r:id="rId21" display="https://www.scoresandodds.com/nfl/teams/cardinals" xr:uid="{F39B3516-2CA0-4A45-89FC-62FC8CA46992}"/>
    <hyperlink ref="A101" r:id="rId22" display="https://www.scoresandodds.com/nfl/teams/texans" xr:uid="{5EC23E83-420F-4DE6-8E12-25182A59DFEB}"/>
    <hyperlink ref="A108" r:id="rId23" display="https://www.scoresandodds.com/nfl/teams/ravens" xr:uid="{37231539-19A7-403D-AD2B-F6F8E7044C05}"/>
    <hyperlink ref="A113" r:id="rId24" display="https://www.scoresandodds.com/nfl/teams/bengals" xr:uid="{CAD33616-42A5-4CDB-8DB0-412A94044D16}"/>
    <hyperlink ref="A120" r:id="rId25" display="https://www.scoresandodds.com/nfl/teams/panthers" xr:uid="{D8AF97F0-5888-437C-BC3A-BF64CEFCB4F5}"/>
    <hyperlink ref="A125" r:id="rId26" display="https://www.scoresandodds.com/nfl/teams/saints" xr:uid="{F69F4ED9-A4E8-4A6A-8116-4017AAD0BC60}"/>
    <hyperlink ref="A132" r:id="rId27" display="https://www.scoresandodds.com/nfl/teams/colts" xr:uid="{CD0286BB-4B66-4F8B-9ED8-9878F4A1D80F}"/>
    <hyperlink ref="A137" r:id="rId28" display="https://www.scoresandodds.com/nfl/teams/seahawks" xr:uid="{3EBDD8A7-800C-47E3-B2E5-C4E1427221F2}"/>
    <hyperlink ref="A144" r:id="rId29" display="https://www.scoresandodds.com/nfl/teams/lions" xr:uid="{FCA684EF-1BFE-4C57-90E0-A5806F021D1D}"/>
    <hyperlink ref="A149" r:id="rId30" display="https://www.scoresandodds.com/nfl/teams/rams" xr:uid="{FB057CDD-EDC7-4683-B25E-B317F28CAFF5}"/>
    <hyperlink ref="A156" r:id="rId31" display="https://www.scoresandodds.com/nfl/teams/packers" xr:uid="{4813317C-39F1-4071-B177-AF3D11AB5A4F}"/>
    <hyperlink ref="A161" r:id="rId32" display="https://www.scoresandodds.com/nfl/teams/broncos" xr:uid="{1ABA06F6-BF74-4860-8682-360B013365E3}"/>
    <hyperlink ref="A168" r:id="rId33" display="https://www.scoresandodds.com/nfl/teams/titans" xr:uid="{2E64696A-944F-4AEE-AB4D-69674CC3EAE8}"/>
    <hyperlink ref="A173" r:id="rId34" display="https://www.scoresandodds.com/nfl/teams/49ers" xr:uid="{6572C2B0-3942-4574-8AC2-CAC22A9B5BF8}"/>
    <hyperlink ref="A180" r:id="rId35" display="https://www.scoresandodds.com/nfl/teams/vikings" xr:uid="{8BCC8F69-7849-4BAB-A6F7-A5E9D9B918F7}"/>
    <hyperlink ref="A185" r:id="rId36" display="https://www.scoresandodds.com/nfl/teams/cowboys" xr:uid="{609EEEAA-3948-4C16-848F-7C71506E124A}"/>
    <hyperlink ref="A193" r:id="rId37" display="https://www.scoresandodds.com/nfl/teams/dolphins" xr:uid="{6F1029A2-BCCA-442B-9102-845E97B9DD9A}"/>
    <hyperlink ref="A198" r:id="rId38" display="https://www.scoresandodds.com/nfl/teams/steelers" xr:uid="{994FBEEF-DA79-4F21-9C05-486F8F991B66}"/>
  </hyperlinks>
  <pageMargins left="0.7" right="0.7" top="0.75" bottom="0.75" header="0.3" footer="0.3"/>
  <drawing r:id="rId39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0E837-AE36-4EE5-8EC5-024A1CBC5B67}">
  <dimension ref="A1:F201"/>
  <sheetViews>
    <sheetView workbookViewId="0">
      <selection activeCell="K20" sqref="K20"/>
    </sheetView>
  </sheetViews>
  <sheetFormatPr baseColWidth="10" defaultRowHeight="15" x14ac:dyDescent="0.25"/>
  <cols>
    <col min="1" max="1" width="70.5703125" bestFit="1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3" spans="1:6" x14ac:dyDescent="0.25">
      <c r="A3" s="2" t="s">
        <v>2</v>
      </c>
    </row>
    <row r="4" spans="1:6" x14ac:dyDescent="0.25">
      <c r="A4" s="2" t="s">
        <v>3</v>
      </c>
    </row>
    <row r="5" spans="1:6" x14ac:dyDescent="0.25">
      <c r="A5" s="2" t="s">
        <v>4</v>
      </c>
    </row>
    <row r="6" spans="1:6" x14ac:dyDescent="0.25">
      <c r="A6" s="2" t="s">
        <v>5</v>
      </c>
    </row>
    <row r="7" spans="1:6" x14ac:dyDescent="0.25">
      <c r="A7" s="2" t="s">
        <v>6</v>
      </c>
    </row>
    <row r="8" spans="1:6" ht="15.75" thickBot="1" x14ac:dyDescent="0.3">
      <c r="A8" s="3" t="s">
        <v>180</v>
      </c>
      <c r="B8" s="4"/>
      <c r="C8" s="4" t="s">
        <v>8</v>
      </c>
      <c r="D8" s="4" t="s">
        <v>9</v>
      </c>
      <c r="E8" s="4" t="s">
        <v>10</v>
      </c>
      <c r="F8" s="4" t="s">
        <v>11</v>
      </c>
    </row>
    <row r="9" spans="1:6" x14ac:dyDescent="0.25">
      <c r="A9" s="5">
        <v>101</v>
      </c>
      <c r="B9" s="14">
        <v>37</v>
      </c>
      <c r="C9" s="8" t="s">
        <v>13</v>
      </c>
      <c r="D9" s="16">
        <f>1.5-108</f>
        <v>-106.5</v>
      </c>
      <c r="E9" s="16" t="s">
        <v>13</v>
      </c>
      <c r="F9" s="18">
        <v>110</v>
      </c>
    </row>
    <row r="10" spans="1:6" x14ac:dyDescent="0.25">
      <c r="A10" s="6" t="s">
        <v>181</v>
      </c>
      <c r="B10" s="13"/>
      <c r="C10" s="8"/>
      <c r="D10" s="15"/>
      <c r="E10" s="15"/>
      <c r="F10" s="17"/>
    </row>
    <row r="11" spans="1:6" x14ac:dyDescent="0.25">
      <c r="A11" s="7"/>
      <c r="B11" s="13"/>
      <c r="C11" s="8" t="s">
        <v>13</v>
      </c>
      <c r="D11" s="15"/>
      <c r="E11" s="15"/>
      <c r="F11" s="17"/>
    </row>
    <row r="12" spans="1:6" x14ac:dyDescent="0.25">
      <c r="A12" s="7"/>
      <c r="B12" s="13"/>
      <c r="C12" s="8"/>
      <c r="D12" s="15"/>
      <c r="E12" s="15"/>
      <c r="F12" s="17"/>
    </row>
    <row r="13" spans="1:6" x14ac:dyDescent="0.25">
      <c r="A13" s="7"/>
      <c r="B13" s="13"/>
      <c r="C13" s="8" t="s">
        <v>13</v>
      </c>
      <c r="D13" s="15"/>
      <c r="E13" s="15"/>
      <c r="F13" s="17"/>
    </row>
    <row r="14" spans="1:6" x14ac:dyDescent="0.25">
      <c r="A14" s="9">
        <v>102</v>
      </c>
      <c r="B14" s="19">
        <v>38</v>
      </c>
      <c r="C14" s="12">
        <f>-1.5-108</f>
        <v>-109.5</v>
      </c>
      <c r="D14" s="20">
        <f>-1.5-112</f>
        <v>-113.5</v>
      </c>
      <c r="E14" s="20" t="s">
        <v>16</v>
      </c>
      <c r="F14" s="21">
        <v>-130</v>
      </c>
    </row>
    <row r="15" spans="1:6" x14ac:dyDescent="0.25">
      <c r="A15" s="10" t="s">
        <v>182</v>
      </c>
      <c r="B15" s="19"/>
      <c r="C15" s="12"/>
      <c r="D15" s="20"/>
      <c r="E15" s="20"/>
      <c r="F15" s="21"/>
    </row>
    <row r="16" spans="1:6" x14ac:dyDescent="0.25">
      <c r="A16" s="11"/>
      <c r="B16" s="19"/>
      <c r="C16" s="12">
        <f>-1.5-108</f>
        <v>-109.5</v>
      </c>
      <c r="D16" s="20"/>
      <c r="E16" s="20"/>
      <c r="F16" s="21"/>
    </row>
    <row r="17" spans="1:6" x14ac:dyDescent="0.25">
      <c r="A17" s="11"/>
      <c r="B17" s="19"/>
      <c r="C17" s="12"/>
      <c r="D17" s="20"/>
      <c r="E17" s="20"/>
      <c r="F17" s="21"/>
    </row>
    <row r="18" spans="1:6" x14ac:dyDescent="0.25">
      <c r="A18" s="11"/>
      <c r="B18" s="19"/>
      <c r="C18" s="12">
        <f>-1.5-108</f>
        <v>-109.5</v>
      </c>
      <c r="D18" s="20"/>
      <c r="E18" s="20"/>
      <c r="F18" s="21"/>
    </row>
    <row r="19" spans="1:6" ht="38.25" thickBot="1" x14ac:dyDescent="0.3">
      <c r="A19" s="22" t="s">
        <v>17</v>
      </c>
    </row>
    <row r="20" spans="1:6" ht="67.5" x14ac:dyDescent="0.25">
      <c r="A20" s="27" t="s">
        <v>116</v>
      </c>
    </row>
    <row r="21" spans="1:6" x14ac:dyDescent="0.25">
      <c r="A21" s="23" t="s">
        <v>102</v>
      </c>
    </row>
    <row r="22" spans="1:6" ht="15.75" thickBot="1" x14ac:dyDescent="0.3">
      <c r="A22" s="3" t="s">
        <v>183</v>
      </c>
      <c r="B22" s="4"/>
      <c r="C22" s="4" t="s">
        <v>8</v>
      </c>
      <c r="D22" s="4" t="s">
        <v>9</v>
      </c>
      <c r="E22" s="4" t="s">
        <v>10</v>
      </c>
      <c r="F22" s="4" t="s">
        <v>11</v>
      </c>
    </row>
    <row r="23" spans="1:6" x14ac:dyDescent="0.25">
      <c r="A23" s="5">
        <v>105</v>
      </c>
      <c r="B23" s="25">
        <v>29</v>
      </c>
      <c r="C23" s="8">
        <f>-7-122</f>
        <v>-129</v>
      </c>
      <c r="D23" s="16">
        <f>-7-122</f>
        <v>-129</v>
      </c>
      <c r="E23" s="16" t="s">
        <v>185</v>
      </c>
      <c r="F23" s="16">
        <v>-410</v>
      </c>
    </row>
    <row r="24" spans="1:6" x14ac:dyDescent="0.25">
      <c r="A24" s="6" t="s">
        <v>184</v>
      </c>
      <c r="B24" s="24"/>
      <c r="C24" s="8"/>
      <c r="D24" s="15"/>
      <c r="E24" s="15"/>
      <c r="F24" s="15"/>
    </row>
    <row r="25" spans="1:6" x14ac:dyDescent="0.25">
      <c r="A25" s="7"/>
      <c r="B25" s="24"/>
      <c r="C25" s="8">
        <f>-7-122</f>
        <v>-129</v>
      </c>
      <c r="D25" s="15"/>
      <c r="E25" s="15"/>
      <c r="F25" s="15"/>
    </row>
    <row r="26" spans="1:6" x14ac:dyDescent="0.25">
      <c r="A26" s="7"/>
      <c r="B26" s="24"/>
      <c r="C26" s="8"/>
      <c r="D26" s="15"/>
      <c r="E26" s="15"/>
      <c r="F26" s="15"/>
    </row>
    <row r="27" spans="1:6" x14ac:dyDescent="0.25">
      <c r="A27" s="7"/>
      <c r="B27" s="24"/>
      <c r="C27" s="8">
        <f>-7.5-105</f>
        <v>-112.5</v>
      </c>
      <c r="D27" s="15"/>
      <c r="E27" s="15"/>
      <c r="F27" s="15"/>
    </row>
    <row r="28" spans="1:6" x14ac:dyDescent="0.25">
      <c r="A28" s="9">
        <v>106</v>
      </c>
      <c r="B28" s="26">
        <v>18</v>
      </c>
      <c r="C28" s="12" t="s">
        <v>187</v>
      </c>
      <c r="D28" s="20" t="s">
        <v>189</v>
      </c>
      <c r="E28" s="20" t="s">
        <v>187</v>
      </c>
      <c r="F28" s="20">
        <v>300</v>
      </c>
    </row>
    <row r="29" spans="1:6" x14ac:dyDescent="0.25">
      <c r="A29" s="10" t="s">
        <v>186</v>
      </c>
      <c r="B29" s="26"/>
      <c r="C29" s="12"/>
      <c r="D29" s="20"/>
      <c r="E29" s="20"/>
      <c r="F29" s="20"/>
    </row>
    <row r="30" spans="1:6" x14ac:dyDescent="0.25">
      <c r="A30" s="11"/>
      <c r="B30" s="26"/>
      <c r="C30" s="12" t="s">
        <v>188</v>
      </c>
      <c r="D30" s="20"/>
      <c r="E30" s="20"/>
      <c r="F30" s="20"/>
    </row>
    <row r="31" spans="1:6" x14ac:dyDescent="0.25">
      <c r="A31" s="11"/>
      <c r="B31" s="26"/>
      <c r="C31" s="12"/>
      <c r="D31" s="20"/>
      <c r="E31" s="20"/>
      <c r="F31" s="20"/>
    </row>
    <row r="32" spans="1:6" x14ac:dyDescent="0.25">
      <c r="A32" s="11"/>
      <c r="B32" s="26"/>
      <c r="C32" s="12" t="s">
        <v>188</v>
      </c>
      <c r="D32" s="20"/>
      <c r="E32" s="20"/>
      <c r="F32" s="20"/>
    </row>
    <row r="33" spans="1:6" ht="37.5" x14ac:dyDescent="0.25">
      <c r="A33" s="22" t="s">
        <v>17</v>
      </c>
    </row>
    <row r="34" spans="1:6" ht="15.75" thickBot="1" x14ac:dyDescent="0.3">
      <c r="A34" s="3" t="s">
        <v>190</v>
      </c>
      <c r="B34" s="4"/>
      <c r="C34" s="4" t="s">
        <v>8</v>
      </c>
      <c r="D34" s="4" t="s">
        <v>9</v>
      </c>
      <c r="E34" s="4" t="s">
        <v>10</v>
      </c>
      <c r="F34" s="4" t="s">
        <v>11</v>
      </c>
    </row>
    <row r="35" spans="1:6" x14ac:dyDescent="0.25">
      <c r="A35" s="5">
        <v>103</v>
      </c>
      <c r="B35" s="14">
        <v>16</v>
      </c>
      <c r="C35" s="8" t="s">
        <v>192</v>
      </c>
      <c r="D35" s="18">
        <f>1.5-115</f>
        <v>-113.5</v>
      </c>
      <c r="E35" s="18" t="s">
        <v>188</v>
      </c>
      <c r="F35" s="18" t="s">
        <v>193</v>
      </c>
    </row>
    <row r="36" spans="1:6" x14ac:dyDescent="0.25">
      <c r="A36" s="6" t="s">
        <v>191</v>
      </c>
      <c r="B36" s="13"/>
      <c r="C36" s="8"/>
      <c r="D36" s="17"/>
      <c r="E36" s="17"/>
      <c r="F36" s="17"/>
    </row>
    <row r="37" spans="1:6" x14ac:dyDescent="0.25">
      <c r="A37" s="7"/>
      <c r="B37" s="13"/>
      <c r="C37" s="8" t="s">
        <v>109</v>
      </c>
      <c r="D37" s="17"/>
      <c r="E37" s="17"/>
      <c r="F37" s="17"/>
    </row>
    <row r="38" spans="1:6" x14ac:dyDescent="0.25">
      <c r="A38" s="7"/>
      <c r="B38" s="13"/>
      <c r="C38" s="8"/>
      <c r="D38" s="17"/>
      <c r="E38" s="17"/>
      <c r="F38" s="17"/>
    </row>
    <row r="39" spans="1:6" x14ac:dyDescent="0.25">
      <c r="A39" s="7"/>
      <c r="B39" s="13"/>
      <c r="C39" s="8" t="s">
        <v>109</v>
      </c>
      <c r="D39" s="17"/>
      <c r="E39" s="17"/>
      <c r="F39" s="17"/>
    </row>
    <row r="40" spans="1:6" x14ac:dyDescent="0.25">
      <c r="A40" s="9">
        <v>104</v>
      </c>
      <c r="B40" s="19">
        <v>22</v>
      </c>
      <c r="C40" s="12">
        <f>-1.5-105</f>
        <v>-106.5</v>
      </c>
      <c r="D40" s="21">
        <f>-1.5-105</f>
        <v>-106.5</v>
      </c>
      <c r="E40" s="21" t="s">
        <v>195</v>
      </c>
      <c r="F40" s="21">
        <v>-120</v>
      </c>
    </row>
    <row r="41" spans="1:6" x14ac:dyDescent="0.25">
      <c r="A41" s="10" t="s">
        <v>194</v>
      </c>
      <c r="B41" s="19"/>
      <c r="C41" s="12"/>
      <c r="D41" s="21"/>
      <c r="E41" s="21"/>
      <c r="F41" s="21"/>
    </row>
    <row r="42" spans="1:6" x14ac:dyDescent="0.25">
      <c r="A42" s="11"/>
      <c r="B42" s="19"/>
      <c r="C42" s="12">
        <f>-1.5-105</f>
        <v>-106.5</v>
      </c>
      <c r="D42" s="21"/>
      <c r="E42" s="21"/>
      <c r="F42" s="21"/>
    </row>
    <row r="43" spans="1:6" x14ac:dyDescent="0.25">
      <c r="A43" s="11"/>
      <c r="B43" s="19"/>
      <c r="C43" s="12"/>
      <c r="D43" s="21"/>
      <c r="E43" s="21"/>
      <c r="F43" s="21"/>
    </row>
    <row r="44" spans="1:6" x14ac:dyDescent="0.25">
      <c r="A44" s="11"/>
      <c r="B44" s="19"/>
      <c r="C44" s="12">
        <f>-1.5-110</f>
        <v>-111.5</v>
      </c>
      <c r="D44" s="21"/>
      <c r="E44" s="21"/>
      <c r="F44" s="21"/>
    </row>
    <row r="45" spans="1:6" ht="37.5" x14ac:dyDescent="0.25">
      <c r="A45" s="22" t="s">
        <v>17</v>
      </c>
    </row>
    <row r="46" spans="1:6" ht="15.75" thickBot="1" x14ac:dyDescent="0.3">
      <c r="A46" s="3" t="s">
        <v>196</v>
      </c>
      <c r="B46" s="4"/>
      <c r="C46" s="4" t="s">
        <v>8</v>
      </c>
      <c r="D46" s="4" t="s">
        <v>9</v>
      </c>
      <c r="E46" s="4" t="s">
        <v>10</v>
      </c>
      <c r="F46" s="4" t="s">
        <v>11</v>
      </c>
    </row>
    <row r="47" spans="1:6" x14ac:dyDescent="0.25">
      <c r="A47" s="5">
        <v>109</v>
      </c>
      <c r="B47" s="14">
        <v>6</v>
      </c>
      <c r="C47" s="8" t="s">
        <v>198</v>
      </c>
      <c r="D47" s="18">
        <f>7-112</f>
        <v>-105</v>
      </c>
      <c r="E47" s="18" t="s">
        <v>198</v>
      </c>
      <c r="F47" s="18">
        <v>260</v>
      </c>
    </row>
    <row r="48" spans="1:6" x14ac:dyDescent="0.25">
      <c r="A48" s="6" t="s">
        <v>197</v>
      </c>
      <c r="B48" s="13"/>
      <c r="C48" s="8"/>
      <c r="D48" s="17"/>
      <c r="E48" s="17"/>
      <c r="F48" s="17"/>
    </row>
    <row r="49" spans="1:6" x14ac:dyDescent="0.25">
      <c r="A49" s="7"/>
      <c r="B49" s="13"/>
      <c r="C49" s="8" t="s">
        <v>198</v>
      </c>
      <c r="D49" s="17"/>
      <c r="E49" s="17"/>
      <c r="F49" s="17"/>
    </row>
    <row r="50" spans="1:6" x14ac:dyDescent="0.25">
      <c r="A50" s="7"/>
      <c r="B50" s="13"/>
      <c r="C50" s="8"/>
      <c r="D50" s="17"/>
      <c r="E50" s="17"/>
      <c r="F50" s="17"/>
    </row>
    <row r="51" spans="1:6" x14ac:dyDescent="0.25">
      <c r="A51" s="7"/>
      <c r="B51" s="13"/>
      <c r="C51" s="8" t="s">
        <v>120</v>
      </c>
      <c r="D51" s="17"/>
      <c r="E51" s="17"/>
      <c r="F51" s="17"/>
    </row>
    <row r="52" spans="1:6" x14ac:dyDescent="0.25">
      <c r="A52" s="9">
        <v>110</v>
      </c>
      <c r="B52" s="19">
        <v>29</v>
      </c>
      <c r="C52" s="12">
        <f>-6.5-115</f>
        <v>-121.5</v>
      </c>
      <c r="D52" s="21">
        <f>-7-108</f>
        <v>-115</v>
      </c>
      <c r="E52" s="21" t="s">
        <v>200</v>
      </c>
      <c r="F52" s="21">
        <v>-325</v>
      </c>
    </row>
    <row r="53" spans="1:6" x14ac:dyDescent="0.25">
      <c r="A53" s="10" t="s">
        <v>199</v>
      </c>
      <c r="B53" s="19"/>
      <c r="C53" s="12"/>
      <c r="D53" s="21"/>
      <c r="E53" s="21"/>
      <c r="F53" s="21"/>
    </row>
    <row r="54" spans="1:6" x14ac:dyDescent="0.25">
      <c r="A54" s="11"/>
      <c r="B54" s="19"/>
      <c r="C54" s="12">
        <f>-6.5-110</f>
        <v>-116.5</v>
      </c>
      <c r="D54" s="21"/>
      <c r="E54" s="21"/>
      <c r="F54" s="21"/>
    </row>
    <row r="55" spans="1:6" x14ac:dyDescent="0.25">
      <c r="A55" s="11"/>
      <c r="B55" s="19"/>
      <c r="C55" s="12"/>
      <c r="D55" s="21"/>
      <c r="E55" s="21"/>
      <c r="F55" s="21"/>
    </row>
    <row r="56" spans="1:6" x14ac:dyDescent="0.25">
      <c r="A56" s="11"/>
      <c r="B56" s="19"/>
      <c r="C56" s="12">
        <f>-6.5-110</f>
        <v>-116.5</v>
      </c>
      <c r="D56" s="21"/>
      <c r="E56" s="21"/>
      <c r="F56" s="21"/>
    </row>
    <row r="57" spans="1:6" ht="37.5" x14ac:dyDescent="0.25">
      <c r="A57" s="22" t="s">
        <v>17</v>
      </c>
    </row>
    <row r="58" spans="1:6" ht="15.75" thickBot="1" x14ac:dyDescent="0.3">
      <c r="A58" s="3" t="s">
        <v>196</v>
      </c>
      <c r="B58" s="4"/>
      <c r="C58" s="4" t="s">
        <v>8</v>
      </c>
      <c r="D58" s="4" t="s">
        <v>9</v>
      </c>
      <c r="E58" s="4" t="s">
        <v>10</v>
      </c>
      <c r="F58" s="4" t="s">
        <v>11</v>
      </c>
    </row>
    <row r="59" spans="1:6" x14ac:dyDescent="0.25">
      <c r="A59" s="5">
        <v>119</v>
      </c>
      <c r="B59" s="25">
        <v>34</v>
      </c>
      <c r="C59" s="8" t="s">
        <v>202</v>
      </c>
      <c r="D59" s="16">
        <f>1.5-115</f>
        <v>-113.5</v>
      </c>
      <c r="E59" s="16" t="s">
        <v>202</v>
      </c>
      <c r="F59" s="16">
        <v>-102</v>
      </c>
    </row>
    <row r="60" spans="1:6" x14ac:dyDescent="0.25">
      <c r="A60" s="6" t="s">
        <v>201</v>
      </c>
      <c r="B60" s="24"/>
      <c r="C60" s="8"/>
      <c r="D60" s="15"/>
      <c r="E60" s="15"/>
      <c r="F60" s="15"/>
    </row>
    <row r="61" spans="1:6" x14ac:dyDescent="0.25">
      <c r="A61" s="7"/>
      <c r="B61" s="24"/>
      <c r="C61" s="8" t="s">
        <v>202</v>
      </c>
      <c r="D61" s="15"/>
      <c r="E61" s="15"/>
      <c r="F61" s="15"/>
    </row>
    <row r="62" spans="1:6" x14ac:dyDescent="0.25">
      <c r="A62" s="7"/>
      <c r="B62" s="24"/>
      <c r="C62" s="8"/>
      <c r="D62" s="15"/>
      <c r="E62" s="15"/>
      <c r="F62" s="15"/>
    </row>
    <row r="63" spans="1:6" x14ac:dyDescent="0.25">
      <c r="A63" s="7"/>
      <c r="B63" s="24"/>
      <c r="C63" s="8" t="s">
        <v>202</v>
      </c>
      <c r="D63" s="15"/>
      <c r="E63" s="15"/>
      <c r="F63" s="15"/>
    </row>
    <row r="64" spans="1:6" x14ac:dyDescent="0.25">
      <c r="A64" s="9">
        <v>120</v>
      </c>
      <c r="B64" s="26">
        <v>17</v>
      </c>
      <c r="C64" s="12">
        <f>-1.5-105</f>
        <v>-106.5</v>
      </c>
      <c r="D64" s="20">
        <f>-1.5-105</f>
        <v>-106.5</v>
      </c>
      <c r="E64" s="20" t="s">
        <v>204</v>
      </c>
      <c r="F64" s="20">
        <v>-118</v>
      </c>
    </row>
    <row r="65" spans="1:6" x14ac:dyDescent="0.25">
      <c r="A65" s="10" t="s">
        <v>203</v>
      </c>
      <c r="B65" s="26"/>
      <c r="C65" s="12"/>
      <c r="D65" s="20"/>
      <c r="E65" s="20"/>
      <c r="F65" s="20"/>
    </row>
    <row r="66" spans="1:6" x14ac:dyDescent="0.25">
      <c r="A66" s="11"/>
      <c r="B66" s="26"/>
      <c r="C66" s="12">
        <f>-1.5-105</f>
        <v>-106.5</v>
      </c>
      <c r="D66" s="20"/>
      <c r="E66" s="20"/>
      <c r="F66" s="20"/>
    </row>
    <row r="67" spans="1:6" x14ac:dyDescent="0.25">
      <c r="A67" s="11"/>
      <c r="B67" s="26"/>
      <c r="C67" s="12"/>
      <c r="D67" s="20"/>
      <c r="E67" s="20"/>
      <c r="F67" s="20"/>
    </row>
    <row r="68" spans="1:6" x14ac:dyDescent="0.25">
      <c r="A68" s="11"/>
      <c r="B68" s="26"/>
      <c r="C68" s="12">
        <f>-1.5-108</f>
        <v>-109.5</v>
      </c>
      <c r="D68" s="20"/>
      <c r="E68" s="20"/>
      <c r="F68" s="20"/>
    </row>
    <row r="69" spans="1:6" ht="37.5" x14ac:dyDescent="0.25">
      <c r="A69" s="22" t="s">
        <v>17</v>
      </c>
    </row>
    <row r="70" spans="1:6" ht="15.75" thickBot="1" x14ac:dyDescent="0.3">
      <c r="A70" s="3" t="s">
        <v>196</v>
      </c>
      <c r="B70" s="4"/>
      <c r="C70" s="4" t="s">
        <v>8</v>
      </c>
      <c r="D70" s="4" t="s">
        <v>9</v>
      </c>
      <c r="E70" s="4" t="s">
        <v>10</v>
      </c>
      <c r="F70" s="4" t="s">
        <v>11</v>
      </c>
    </row>
    <row r="71" spans="1:6" x14ac:dyDescent="0.25">
      <c r="A71" s="5">
        <v>115</v>
      </c>
      <c r="B71" s="14">
        <v>20</v>
      </c>
      <c r="C71" s="8">
        <f>-3-105</f>
        <v>-108</v>
      </c>
      <c r="D71" s="18">
        <f>-3-105</f>
        <v>-108</v>
      </c>
      <c r="E71" s="18" t="s">
        <v>207</v>
      </c>
      <c r="F71" s="18">
        <v>-155</v>
      </c>
    </row>
    <row r="72" spans="1:6" x14ac:dyDescent="0.25">
      <c r="A72" s="6" t="s">
        <v>205</v>
      </c>
      <c r="B72" s="13"/>
      <c r="C72" s="8"/>
      <c r="D72" s="17"/>
      <c r="E72" s="17"/>
      <c r="F72" s="17"/>
    </row>
    <row r="73" spans="1:6" x14ac:dyDescent="0.25">
      <c r="A73" s="7"/>
      <c r="B73" s="13"/>
      <c r="C73" s="8" t="s">
        <v>206</v>
      </c>
      <c r="D73" s="17"/>
      <c r="E73" s="17"/>
      <c r="F73" s="17"/>
    </row>
    <row r="74" spans="1:6" x14ac:dyDescent="0.25">
      <c r="A74" s="7"/>
      <c r="B74" s="13"/>
      <c r="C74" s="8"/>
      <c r="D74" s="17"/>
      <c r="E74" s="17"/>
      <c r="F74" s="17"/>
    </row>
    <row r="75" spans="1:6" x14ac:dyDescent="0.25">
      <c r="A75" s="7"/>
      <c r="B75" s="13"/>
      <c r="C75" s="8" t="s">
        <v>206</v>
      </c>
      <c r="D75" s="17"/>
      <c r="E75" s="17"/>
      <c r="F75" s="17"/>
    </row>
    <row r="76" spans="1:6" x14ac:dyDescent="0.25">
      <c r="A76" s="9">
        <v>116</v>
      </c>
      <c r="B76" s="19">
        <v>23</v>
      </c>
      <c r="C76" s="12" t="s">
        <v>209</v>
      </c>
      <c r="D76" s="21">
        <f>3-115</f>
        <v>-112</v>
      </c>
      <c r="E76" s="21" t="s">
        <v>209</v>
      </c>
      <c r="F76" s="21">
        <v>130</v>
      </c>
    </row>
    <row r="77" spans="1:6" x14ac:dyDescent="0.25">
      <c r="A77" s="10" t="s">
        <v>208</v>
      </c>
      <c r="B77" s="19"/>
      <c r="C77" s="12"/>
      <c r="D77" s="21"/>
      <c r="E77" s="21"/>
      <c r="F77" s="21"/>
    </row>
    <row r="78" spans="1:6" x14ac:dyDescent="0.25">
      <c r="A78" s="11"/>
      <c r="B78" s="19"/>
      <c r="C78" s="12" t="s">
        <v>209</v>
      </c>
      <c r="D78" s="21"/>
      <c r="E78" s="21"/>
      <c r="F78" s="21"/>
    </row>
    <row r="79" spans="1:6" x14ac:dyDescent="0.25">
      <c r="A79" s="11"/>
      <c r="B79" s="19"/>
      <c r="C79" s="12"/>
      <c r="D79" s="21"/>
      <c r="E79" s="21"/>
      <c r="F79" s="21"/>
    </row>
    <row r="80" spans="1:6" x14ac:dyDescent="0.25">
      <c r="A80" s="11"/>
      <c r="B80" s="19"/>
      <c r="C80" s="12" t="s">
        <v>106</v>
      </c>
      <c r="D80" s="21"/>
      <c r="E80" s="21"/>
      <c r="F80" s="21"/>
    </row>
    <row r="81" spans="1:6" ht="37.5" x14ac:dyDescent="0.25">
      <c r="A81" s="22" t="s">
        <v>17</v>
      </c>
    </row>
    <row r="82" spans="1:6" ht="15.75" thickBot="1" x14ac:dyDescent="0.3">
      <c r="A82" s="3" t="s">
        <v>196</v>
      </c>
      <c r="B82" s="4"/>
      <c r="C82" s="4" t="s">
        <v>8</v>
      </c>
      <c r="D82" s="4" t="s">
        <v>9</v>
      </c>
      <c r="E82" s="4" t="s">
        <v>10</v>
      </c>
      <c r="F82" s="4" t="s">
        <v>11</v>
      </c>
    </row>
    <row r="83" spans="1:6" x14ac:dyDescent="0.25">
      <c r="A83" s="5">
        <v>117</v>
      </c>
      <c r="B83" s="14">
        <v>9</v>
      </c>
      <c r="C83" s="8" t="s">
        <v>211</v>
      </c>
      <c r="D83" s="18" t="s">
        <v>211</v>
      </c>
      <c r="E83" s="18" t="s">
        <v>212</v>
      </c>
      <c r="F83" s="18">
        <v>-185</v>
      </c>
    </row>
    <row r="84" spans="1:6" x14ac:dyDescent="0.25">
      <c r="A84" s="6" t="s">
        <v>210</v>
      </c>
      <c r="B84" s="13"/>
      <c r="C84" s="8"/>
      <c r="D84" s="17"/>
      <c r="E84" s="17"/>
      <c r="F84" s="17"/>
    </row>
    <row r="85" spans="1:6" x14ac:dyDescent="0.25">
      <c r="A85" s="7"/>
      <c r="B85" s="13"/>
      <c r="C85" s="8">
        <f>-3.5+105</f>
        <v>101.5</v>
      </c>
      <c r="D85" s="17"/>
      <c r="E85" s="17"/>
      <c r="F85" s="17"/>
    </row>
    <row r="86" spans="1:6" x14ac:dyDescent="0.25">
      <c r="A86" s="7"/>
      <c r="B86" s="13"/>
      <c r="C86" s="8"/>
      <c r="D86" s="17"/>
      <c r="E86" s="17"/>
      <c r="F86" s="17"/>
    </row>
    <row r="87" spans="1:6" x14ac:dyDescent="0.25">
      <c r="A87" s="7"/>
      <c r="B87" s="13"/>
      <c r="C87" s="8">
        <f>-3-120</f>
        <v>-123</v>
      </c>
      <c r="D87" s="17"/>
      <c r="E87" s="17"/>
      <c r="F87" s="17"/>
    </row>
    <row r="88" spans="1:6" x14ac:dyDescent="0.25">
      <c r="A88" s="9">
        <v>118</v>
      </c>
      <c r="B88" s="19">
        <v>26</v>
      </c>
      <c r="C88" s="12" t="s">
        <v>214</v>
      </c>
      <c r="D88" s="21">
        <f>3.5-120</f>
        <v>-116.5</v>
      </c>
      <c r="E88" s="21" t="s">
        <v>214</v>
      </c>
      <c r="F88" s="21">
        <v>154</v>
      </c>
    </row>
    <row r="89" spans="1:6" x14ac:dyDescent="0.25">
      <c r="A89" s="10" t="s">
        <v>213</v>
      </c>
      <c r="B89" s="19"/>
      <c r="C89" s="12"/>
      <c r="D89" s="21"/>
      <c r="E89" s="21"/>
      <c r="F89" s="21"/>
    </row>
    <row r="90" spans="1:6" x14ac:dyDescent="0.25">
      <c r="A90" s="11"/>
      <c r="B90" s="19"/>
      <c r="C90" s="12" t="s">
        <v>214</v>
      </c>
      <c r="D90" s="21"/>
      <c r="E90" s="21"/>
      <c r="F90" s="21"/>
    </row>
    <row r="91" spans="1:6" x14ac:dyDescent="0.25">
      <c r="A91" s="11"/>
      <c r="B91" s="19"/>
      <c r="C91" s="12"/>
      <c r="D91" s="21"/>
      <c r="E91" s="21"/>
      <c r="F91" s="21"/>
    </row>
    <row r="92" spans="1:6" x14ac:dyDescent="0.25">
      <c r="A92" s="11"/>
      <c r="B92" s="19"/>
      <c r="C92" s="12" t="s">
        <v>214</v>
      </c>
      <c r="D92" s="21"/>
      <c r="E92" s="21"/>
      <c r="F92" s="21"/>
    </row>
    <row r="93" spans="1:6" ht="37.5" x14ac:dyDescent="0.25">
      <c r="A93" s="22" t="s">
        <v>17</v>
      </c>
    </row>
    <row r="94" spans="1:6" ht="15.75" thickBot="1" x14ac:dyDescent="0.3">
      <c r="A94" s="3" t="s">
        <v>196</v>
      </c>
      <c r="B94" s="4"/>
      <c r="C94" s="4" t="s">
        <v>8</v>
      </c>
      <c r="D94" s="4" t="s">
        <v>9</v>
      </c>
      <c r="E94" s="4" t="s">
        <v>10</v>
      </c>
      <c r="F94" s="4" t="s">
        <v>11</v>
      </c>
    </row>
    <row r="95" spans="1:6" x14ac:dyDescent="0.25">
      <c r="A95" s="5">
        <v>111</v>
      </c>
      <c r="B95" s="25">
        <v>16</v>
      </c>
      <c r="C95" s="8">
        <f>-2.5-118</f>
        <v>-120.5</v>
      </c>
      <c r="D95" s="16">
        <f>-2.5-118</f>
        <v>-120.5</v>
      </c>
      <c r="E95" s="18" t="s">
        <v>216</v>
      </c>
      <c r="F95" s="16">
        <v>-148</v>
      </c>
    </row>
    <row r="96" spans="1:6" x14ac:dyDescent="0.25">
      <c r="A96" s="6" t="s">
        <v>215</v>
      </c>
      <c r="B96" s="24"/>
      <c r="C96" s="8"/>
      <c r="D96" s="15"/>
      <c r="E96" s="17"/>
      <c r="F96" s="15"/>
    </row>
    <row r="97" spans="1:6" x14ac:dyDescent="0.25">
      <c r="A97" s="7"/>
      <c r="B97" s="24"/>
      <c r="C97" s="8">
        <f>-2.5-118</f>
        <v>-120.5</v>
      </c>
      <c r="D97" s="15"/>
      <c r="E97" s="17"/>
      <c r="F97" s="15"/>
    </row>
    <row r="98" spans="1:6" x14ac:dyDescent="0.25">
      <c r="A98" s="7"/>
      <c r="B98" s="24"/>
      <c r="C98" s="8"/>
      <c r="D98" s="15"/>
      <c r="E98" s="17"/>
      <c r="F98" s="15"/>
    </row>
    <row r="99" spans="1:6" x14ac:dyDescent="0.25">
      <c r="A99" s="7"/>
      <c r="B99" s="24"/>
      <c r="C99" s="8">
        <f>-2.5-118</f>
        <v>-120.5</v>
      </c>
      <c r="D99" s="15"/>
      <c r="E99" s="17"/>
      <c r="F99" s="15"/>
    </row>
    <row r="100" spans="1:6" x14ac:dyDescent="0.25">
      <c r="A100" s="9">
        <v>112</v>
      </c>
      <c r="B100" s="26">
        <v>13</v>
      </c>
      <c r="C100" s="12" t="s">
        <v>216</v>
      </c>
      <c r="D100" s="20">
        <f>2.5-102</f>
        <v>-99.5</v>
      </c>
      <c r="E100" s="21" t="s">
        <v>220</v>
      </c>
      <c r="F100" s="20">
        <v>124</v>
      </c>
    </row>
    <row r="101" spans="1:6" x14ac:dyDescent="0.25">
      <c r="A101" s="10" t="s">
        <v>217</v>
      </c>
      <c r="B101" s="26"/>
      <c r="C101" s="12"/>
      <c r="D101" s="20"/>
      <c r="E101" s="21"/>
      <c r="F101" s="20"/>
    </row>
    <row r="102" spans="1:6" x14ac:dyDescent="0.25">
      <c r="A102" s="11"/>
      <c r="B102" s="26"/>
      <c r="C102" s="12" t="s">
        <v>218</v>
      </c>
      <c r="D102" s="20"/>
      <c r="E102" s="21"/>
      <c r="F102" s="20"/>
    </row>
    <row r="103" spans="1:6" x14ac:dyDescent="0.25">
      <c r="A103" s="11"/>
      <c r="B103" s="26"/>
      <c r="C103" s="12"/>
      <c r="D103" s="20"/>
      <c r="E103" s="21"/>
      <c r="F103" s="20"/>
    </row>
    <row r="104" spans="1:6" x14ac:dyDescent="0.25">
      <c r="A104" s="11"/>
      <c r="B104" s="26"/>
      <c r="C104" s="12" t="s">
        <v>219</v>
      </c>
      <c r="D104" s="20"/>
      <c r="E104" s="21"/>
      <c r="F104" s="20"/>
    </row>
    <row r="105" spans="1:6" ht="37.5" x14ac:dyDescent="0.25">
      <c r="A105" s="22" t="s">
        <v>17</v>
      </c>
    </row>
    <row r="106" spans="1:6" ht="15.75" thickBot="1" x14ac:dyDescent="0.3">
      <c r="A106" s="3" t="s">
        <v>196</v>
      </c>
      <c r="B106" s="4"/>
      <c r="C106" s="4" t="s">
        <v>8</v>
      </c>
      <c r="D106" s="4" t="s">
        <v>9</v>
      </c>
      <c r="E106" s="4" t="s">
        <v>10</v>
      </c>
      <c r="F106" s="4" t="s">
        <v>11</v>
      </c>
    </row>
    <row r="107" spans="1:6" x14ac:dyDescent="0.25">
      <c r="A107" s="5">
        <v>129</v>
      </c>
      <c r="B107" s="25">
        <v>45</v>
      </c>
      <c r="C107" s="8">
        <f>-3.5-115</f>
        <v>-118.5</v>
      </c>
      <c r="D107" s="16">
        <f>-3.5-115</f>
        <v>-118.5</v>
      </c>
      <c r="E107" s="16" t="s">
        <v>21</v>
      </c>
      <c r="F107" s="16">
        <v>-205</v>
      </c>
    </row>
    <row r="108" spans="1:6" x14ac:dyDescent="0.25">
      <c r="A108" s="6" t="s">
        <v>221</v>
      </c>
      <c r="B108" s="24"/>
      <c r="C108" s="8"/>
      <c r="D108" s="15"/>
      <c r="E108" s="15"/>
      <c r="F108" s="15"/>
    </row>
    <row r="109" spans="1:6" x14ac:dyDescent="0.25">
      <c r="A109" s="7"/>
      <c r="B109" s="24"/>
      <c r="C109" s="8">
        <f>-3.5-120</f>
        <v>-123.5</v>
      </c>
      <c r="D109" s="15"/>
      <c r="E109" s="15"/>
      <c r="F109" s="15"/>
    </row>
    <row r="110" spans="1:6" x14ac:dyDescent="0.25">
      <c r="A110" s="7"/>
      <c r="B110" s="24"/>
      <c r="C110" s="8"/>
      <c r="D110" s="15"/>
      <c r="E110" s="15"/>
      <c r="F110" s="15"/>
    </row>
    <row r="111" spans="1:6" x14ac:dyDescent="0.25">
      <c r="A111" s="7"/>
      <c r="B111" s="24"/>
      <c r="C111" s="8">
        <f>-3.5-115</f>
        <v>-118.5</v>
      </c>
      <c r="D111" s="15"/>
      <c r="E111" s="15"/>
      <c r="F111" s="15"/>
    </row>
    <row r="112" spans="1:6" x14ac:dyDescent="0.25">
      <c r="A112" s="9">
        <v>130</v>
      </c>
      <c r="B112" s="26">
        <v>21</v>
      </c>
      <c r="C112" s="12" t="s">
        <v>23</v>
      </c>
      <c r="D112" s="20">
        <f>3.5-105</f>
        <v>-101.5</v>
      </c>
      <c r="E112" s="20" t="s">
        <v>23</v>
      </c>
      <c r="F112" s="20">
        <v>170</v>
      </c>
    </row>
    <row r="113" spans="1:6" x14ac:dyDescent="0.25">
      <c r="A113" s="10" t="s">
        <v>222</v>
      </c>
      <c r="B113" s="26"/>
      <c r="C113" s="12"/>
      <c r="D113" s="20"/>
      <c r="E113" s="20"/>
      <c r="F113" s="20"/>
    </row>
    <row r="114" spans="1:6" x14ac:dyDescent="0.25">
      <c r="A114" s="11"/>
      <c r="B114" s="26"/>
      <c r="C114" s="12" t="s">
        <v>23</v>
      </c>
      <c r="D114" s="20"/>
      <c r="E114" s="20"/>
      <c r="F114" s="20"/>
    </row>
    <row r="115" spans="1:6" x14ac:dyDescent="0.25">
      <c r="A115" s="11"/>
      <c r="B115" s="26"/>
      <c r="C115" s="12"/>
      <c r="D115" s="20"/>
      <c r="E115" s="20"/>
      <c r="F115" s="20"/>
    </row>
    <row r="116" spans="1:6" x14ac:dyDescent="0.25">
      <c r="A116" s="11"/>
      <c r="B116" s="26"/>
      <c r="C116" s="12" t="s">
        <v>23</v>
      </c>
      <c r="D116" s="20"/>
      <c r="E116" s="20"/>
      <c r="F116" s="20"/>
    </row>
    <row r="117" spans="1:6" ht="37.5" x14ac:dyDescent="0.25">
      <c r="A117" s="22" t="s">
        <v>17</v>
      </c>
    </row>
    <row r="118" spans="1:6" ht="15.75" thickBot="1" x14ac:dyDescent="0.3">
      <c r="A118" s="3" t="s">
        <v>196</v>
      </c>
      <c r="B118" s="4"/>
      <c r="C118" s="4" t="s">
        <v>8</v>
      </c>
      <c r="D118" s="4" t="s">
        <v>9</v>
      </c>
      <c r="E118" s="4" t="s">
        <v>10</v>
      </c>
      <c r="F118" s="4" t="s">
        <v>11</v>
      </c>
    </row>
    <row r="119" spans="1:6" x14ac:dyDescent="0.25">
      <c r="A119" s="5">
        <v>107</v>
      </c>
      <c r="B119" s="25">
        <v>23</v>
      </c>
      <c r="C119" s="8">
        <f>-10.5-110</f>
        <v>-120.5</v>
      </c>
      <c r="D119" s="18">
        <f>-10.5-110</f>
        <v>-120.5</v>
      </c>
      <c r="E119" s="16" t="s">
        <v>94</v>
      </c>
      <c r="F119" s="16">
        <v>-575</v>
      </c>
    </row>
    <row r="120" spans="1:6" x14ac:dyDescent="0.25">
      <c r="A120" s="6" t="s">
        <v>223</v>
      </c>
      <c r="B120" s="24"/>
      <c r="C120" s="8"/>
      <c r="D120" s="17"/>
      <c r="E120" s="15"/>
      <c r="F120" s="15"/>
    </row>
    <row r="121" spans="1:6" x14ac:dyDescent="0.25">
      <c r="A121" s="7"/>
      <c r="B121" s="24"/>
      <c r="C121" s="8">
        <f>-10.5-110</f>
        <v>-120.5</v>
      </c>
      <c r="D121" s="17"/>
      <c r="E121" s="15"/>
      <c r="F121" s="15"/>
    </row>
    <row r="122" spans="1:6" x14ac:dyDescent="0.25">
      <c r="A122" s="7"/>
      <c r="B122" s="24"/>
      <c r="C122" s="8"/>
      <c r="D122" s="17"/>
      <c r="E122" s="15"/>
      <c r="F122" s="15"/>
    </row>
    <row r="123" spans="1:6" x14ac:dyDescent="0.25">
      <c r="A123" s="7"/>
      <c r="B123" s="24"/>
      <c r="C123" s="8">
        <f>-10-115</f>
        <v>-125</v>
      </c>
      <c r="D123" s="17"/>
      <c r="E123" s="15"/>
      <c r="F123" s="15"/>
    </row>
    <row r="124" spans="1:6" x14ac:dyDescent="0.25">
      <c r="A124" s="9">
        <v>108</v>
      </c>
      <c r="B124" s="26">
        <v>20</v>
      </c>
      <c r="C124" s="12" t="s">
        <v>94</v>
      </c>
      <c r="D124" s="21">
        <f>10.5-110</f>
        <v>-99.5</v>
      </c>
      <c r="E124" s="20" t="s">
        <v>96</v>
      </c>
      <c r="F124" s="20">
        <v>440</v>
      </c>
    </row>
    <row r="125" spans="1:6" x14ac:dyDescent="0.25">
      <c r="A125" s="10" t="s">
        <v>224</v>
      </c>
      <c r="B125" s="26"/>
      <c r="C125" s="12"/>
      <c r="D125" s="21"/>
      <c r="E125" s="20"/>
      <c r="F125" s="20"/>
    </row>
    <row r="126" spans="1:6" x14ac:dyDescent="0.25">
      <c r="A126" s="11"/>
      <c r="B126" s="26"/>
      <c r="C126" s="12" t="s">
        <v>225</v>
      </c>
      <c r="D126" s="21"/>
      <c r="E126" s="20"/>
      <c r="F126" s="20"/>
    </row>
    <row r="127" spans="1:6" x14ac:dyDescent="0.25">
      <c r="A127" s="11"/>
      <c r="B127" s="26"/>
      <c r="C127" s="12"/>
      <c r="D127" s="21"/>
      <c r="E127" s="20"/>
      <c r="F127" s="20"/>
    </row>
    <row r="128" spans="1:6" x14ac:dyDescent="0.25">
      <c r="A128" s="11"/>
      <c r="B128" s="26"/>
      <c r="C128" s="12" t="s">
        <v>225</v>
      </c>
      <c r="D128" s="21"/>
      <c r="E128" s="20"/>
      <c r="F128" s="20"/>
    </row>
    <row r="129" spans="1:6" ht="37.5" x14ac:dyDescent="0.25">
      <c r="A129" s="22" t="s">
        <v>17</v>
      </c>
    </row>
    <row r="130" spans="1:6" ht="15.75" thickBot="1" x14ac:dyDescent="0.3">
      <c r="A130" s="3" t="s">
        <v>226</v>
      </c>
      <c r="B130" s="4"/>
      <c r="C130" s="4" t="s">
        <v>8</v>
      </c>
      <c r="D130" s="4" t="s">
        <v>9</v>
      </c>
      <c r="E130" s="4" t="s">
        <v>10</v>
      </c>
      <c r="F130" s="4" t="s">
        <v>11</v>
      </c>
    </row>
    <row r="131" spans="1:6" x14ac:dyDescent="0.25">
      <c r="A131" s="5">
        <v>121</v>
      </c>
      <c r="B131" s="25">
        <v>26</v>
      </c>
      <c r="C131" s="8">
        <f>-2.5-112</f>
        <v>-114.5</v>
      </c>
      <c r="D131" s="16">
        <f>-2.5-112</f>
        <v>-114.5</v>
      </c>
      <c r="E131" s="18" t="s">
        <v>65</v>
      </c>
      <c r="F131" s="16">
        <v>-142</v>
      </c>
    </row>
    <row r="132" spans="1:6" x14ac:dyDescent="0.25">
      <c r="A132" s="6" t="s">
        <v>227</v>
      </c>
      <c r="B132" s="24"/>
      <c r="C132" s="8"/>
      <c r="D132" s="15"/>
      <c r="E132" s="17"/>
      <c r="F132" s="15"/>
    </row>
    <row r="133" spans="1:6" x14ac:dyDescent="0.25">
      <c r="A133" s="7"/>
      <c r="B133" s="24"/>
      <c r="C133" s="8">
        <f>-2.5-112</f>
        <v>-114.5</v>
      </c>
      <c r="D133" s="15"/>
      <c r="E133" s="17"/>
      <c r="F133" s="15"/>
    </row>
    <row r="134" spans="1:6" x14ac:dyDescent="0.25">
      <c r="A134" s="7"/>
      <c r="B134" s="24"/>
      <c r="C134" s="8"/>
      <c r="D134" s="15"/>
      <c r="E134" s="17"/>
      <c r="F134" s="15"/>
    </row>
    <row r="135" spans="1:6" x14ac:dyDescent="0.25">
      <c r="A135" s="7"/>
      <c r="B135" s="24"/>
      <c r="C135" s="8">
        <f>-2.5-112</f>
        <v>-114.5</v>
      </c>
      <c r="D135" s="15"/>
      <c r="E135" s="17"/>
      <c r="F135" s="15"/>
    </row>
    <row r="136" spans="1:6" x14ac:dyDescent="0.25">
      <c r="A136" s="9">
        <v>122</v>
      </c>
      <c r="B136" s="26">
        <v>19</v>
      </c>
      <c r="C136" s="12" t="s">
        <v>142</v>
      </c>
      <c r="D136" s="20">
        <f>2.5-108</f>
        <v>-105.5</v>
      </c>
      <c r="E136" s="21" t="s">
        <v>142</v>
      </c>
      <c r="F136" s="20">
        <v>120</v>
      </c>
    </row>
    <row r="137" spans="1:6" x14ac:dyDescent="0.25">
      <c r="A137" s="10" t="s">
        <v>228</v>
      </c>
      <c r="B137" s="26"/>
      <c r="C137" s="12"/>
      <c r="D137" s="20"/>
      <c r="E137" s="21"/>
      <c r="F137" s="20"/>
    </row>
    <row r="138" spans="1:6" x14ac:dyDescent="0.25">
      <c r="A138" s="11"/>
      <c r="B138" s="26"/>
      <c r="C138" s="12" t="s">
        <v>25</v>
      </c>
      <c r="D138" s="20"/>
      <c r="E138" s="21"/>
      <c r="F138" s="20"/>
    </row>
    <row r="139" spans="1:6" x14ac:dyDescent="0.25">
      <c r="A139" s="11"/>
      <c r="B139" s="26"/>
      <c r="C139" s="12"/>
      <c r="D139" s="20"/>
      <c r="E139" s="21"/>
      <c r="F139" s="20"/>
    </row>
    <row r="140" spans="1:6" x14ac:dyDescent="0.25">
      <c r="A140" s="11"/>
      <c r="B140" s="26"/>
      <c r="C140" s="12" t="s">
        <v>23</v>
      </c>
      <c r="D140" s="20"/>
      <c r="E140" s="21"/>
      <c r="F140" s="20"/>
    </row>
    <row r="141" spans="1:6" ht="37.5" x14ac:dyDescent="0.25">
      <c r="A141" s="22" t="s">
        <v>17</v>
      </c>
    </row>
    <row r="142" spans="1:6" ht="15.75" thickBot="1" x14ac:dyDescent="0.3">
      <c r="A142" s="3" t="s">
        <v>226</v>
      </c>
      <c r="B142" s="4"/>
      <c r="C142" s="4" t="s">
        <v>8</v>
      </c>
      <c r="D142" s="4" t="s">
        <v>9</v>
      </c>
      <c r="E142" s="4" t="s">
        <v>10</v>
      </c>
      <c r="F142" s="4" t="s">
        <v>11</v>
      </c>
    </row>
    <row r="143" spans="1:6" x14ac:dyDescent="0.25">
      <c r="A143" s="5">
        <v>123</v>
      </c>
      <c r="B143" s="25">
        <v>34</v>
      </c>
      <c r="C143" s="8" t="s">
        <v>230</v>
      </c>
      <c r="D143" s="16">
        <f>3.5-120</f>
        <v>-116.5</v>
      </c>
      <c r="E143" s="16" t="s">
        <v>230</v>
      </c>
      <c r="F143" s="16">
        <v>145</v>
      </c>
    </row>
    <row r="144" spans="1:6" x14ac:dyDescent="0.25">
      <c r="A144" s="6" t="s">
        <v>229</v>
      </c>
      <c r="B144" s="24"/>
      <c r="C144" s="8"/>
      <c r="D144" s="15"/>
      <c r="E144" s="15"/>
      <c r="F144" s="15"/>
    </row>
    <row r="145" spans="1:6" x14ac:dyDescent="0.25">
      <c r="A145" s="7"/>
      <c r="B145" s="24"/>
      <c r="C145" s="8" t="s">
        <v>230</v>
      </c>
      <c r="D145" s="15"/>
      <c r="E145" s="15"/>
      <c r="F145" s="15"/>
    </row>
    <row r="146" spans="1:6" x14ac:dyDescent="0.25">
      <c r="A146" s="7"/>
      <c r="B146" s="24"/>
      <c r="C146" s="8"/>
      <c r="D146" s="15"/>
      <c r="E146" s="15"/>
      <c r="F146" s="15"/>
    </row>
    <row r="147" spans="1:6" x14ac:dyDescent="0.25">
      <c r="A147" s="7"/>
      <c r="B147" s="24"/>
      <c r="C147" s="8" t="s">
        <v>31</v>
      </c>
      <c r="D147" s="15"/>
      <c r="E147" s="15"/>
      <c r="F147" s="15"/>
    </row>
    <row r="148" spans="1:6" x14ac:dyDescent="0.25">
      <c r="A148" s="9">
        <v>124</v>
      </c>
      <c r="B148" s="26">
        <v>20</v>
      </c>
      <c r="C148" s="12" t="s">
        <v>211</v>
      </c>
      <c r="D148" s="20" t="s">
        <v>211</v>
      </c>
      <c r="E148" s="20" t="s">
        <v>232</v>
      </c>
      <c r="F148" s="20">
        <v>-175</v>
      </c>
    </row>
    <row r="149" spans="1:6" x14ac:dyDescent="0.25">
      <c r="A149" s="10" t="s">
        <v>231</v>
      </c>
      <c r="B149" s="26"/>
      <c r="C149" s="12"/>
      <c r="D149" s="20"/>
      <c r="E149" s="20"/>
      <c r="F149" s="20"/>
    </row>
    <row r="150" spans="1:6" x14ac:dyDescent="0.25">
      <c r="A150" s="11"/>
      <c r="B150" s="26"/>
      <c r="C150" s="12">
        <f>-3.5-102</f>
        <v>-105.5</v>
      </c>
      <c r="D150" s="20"/>
      <c r="E150" s="20"/>
      <c r="F150" s="20"/>
    </row>
    <row r="151" spans="1:6" x14ac:dyDescent="0.25">
      <c r="A151" s="11"/>
      <c r="B151" s="26"/>
      <c r="C151" s="12"/>
      <c r="D151" s="20"/>
      <c r="E151" s="20"/>
      <c r="F151" s="20"/>
    </row>
    <row r="152" spans="1:6" x14ac:dyDescent="0.25">
      <c r="A152" s="11"/>
      <c r="B152" s="26"/>
      <c r="C152" s="12">
        <f>-3.5-102</f>
        <v>-105.5</v>
      </c>
      <c r="D152" s="20"/>
      <c r="E152" s="20"/>
      <c r="F152" s="20"/>
    </row>
    <row r="153" spans="1:6" ht="37.5" x14ac:dyDescent="0.25">
      <c r="A153" s="22" t="s">
        <v>17</v>
      </c>
    </row>
    <row r="154" spans="1:6" ht="15.75" thickBot="1" x14ac:dyDescent="0.3">
      <c r="A154" s="3" t="s">
        <v>233</v>
      </c>
      <c r="B154" s="4"/>
      <c r="C154" s="4" t="s">
        <v>8</v>
      </c>
      <c r="D154" s="4" t="s">
        <v>9</v>
      </c>
      <c r="E154" s="4" t="s">
        <v>10</v>
      </c>
      <c r="F154" s="4" t="s">
        <v>11</v>
      </c>
    </row>
    <row r="155" spans="1:6" x14ac:dyDescent="0.25">
      <c r="A155" s="5">
        <v>127</v>
      </c>
      <c r="B155" s="14">
        <v>21</v>
      </c>
      <c r="C155" s="8" t="s">
        <v>235</v>
      </c>
      <c r="D155" s="16">
        <f>14.5-118</f>
        <v>-103.5</v>
      </c>
      <c r="E155" s="16" t="s">
        <v>235</v>
      </c>
      <c r="F155" s="18">
        <v>850</v>
      </c>
    </row>
    <row r="156" spans="1:6" x14ac:dyDescent="0.25">
      <c r="A156" s="6" t="s">
        <v>234</v>
      </c>
      <c r="B156" s="13"/>
      <c r="C156" s="8"/>
      <c r="D156" s="15"/>
      <c r="E156" s="15"/>
      <c r="F156" s="17"/>
    </row>
    <row r="157" spans="1:6" x14ac:dyDescent="0.25">
      <c r="A157" s="7"/>
      <c r="B157" s="13"/>
      <c r="C157" s="8" t="s">
        <v>235</v>
      </c>
      <c r="D157" s="15"/>
      <c r="E157" s="15"/>
      <c r="F157" s="17"/>
    </row>
    <row r="158" spans="1:6" x14ac:dyDescent="0.25">
      <c r="A158" s="7"/>
      <c r="B158" s="13"/>
      <c r="C158" s="8"/>
      <c r="D158" s="15"/>
      <c r="E158" s="15"/>
      <c r="F158" s="17"/>
    </row>
    <row r="159" spans="1:6" x14ac:dyDescent="0.25">
      <c r="A159" s="7"/>
      <c r="B159" s="13"/>
      <c r="C159" s="8" t="s">
        <v>60</v>
      </c>
      <c r="D159" s="15"/>
      <c r="E159" s="15"/>
      <c r="F159" s="17"/>
    </row>
    <row r="160" spans="1:6" x14ac:dyDescent="0.25">
      <c r="A160" s="9">
        <v>128</v>
      </c>
      <c r="B160" s="19">
        <v>23</v>
      </c>
      <c r="C160" s="12">
        <f>-14.5-102</f>
        <v>-116.5</v>
      </c>
      <c r="D160" s="20">
        <f>-14.5-102</f>
        <v>-116.5</v>
      </c>
      <c r="E160" s="20" t="s">
        <v>237</v>
      </c>
      <c r="F160" s="21">
        <v>-1600</v>
      </c>
    </row>
    <row r="161" spans="1:6" x14ac:dyDescent="0.25">
      <c r="A161" s="10" t="s">
        <v>236</v>
      </c>
      <c r="B161" s="19"/>
      <c r="C161" s="12"/>
      <c r="D161" s="20"/>
      <c r="E161" s="20"/>
      <c r="F161" s="21"/>
    </row>
    <row r="162" spans="1:6" x14ac:dyDescent="0.25">
      <c r="A162" s="11"/>
      <c r="B162" s="19"/>
      <c r="C162" s="12">
        <f>-14.5-105</f>
        <v>-119.5</v>
      </c>
      <c r="D162" s="20"/>
      <c r="E162" s="20"/>
      <c r="F162" s="21"/>
    </row>
    <row r="163" spans="1:6" x14ac:dyDescent="0.25">
      <c r="A163" s="11"/>
      <c r="B163" s="19"/>
      <c r="C163" s="12"/>
      <c r="D163" s="20"/>
      <c r="E163" s="20"/>
      <c r="F163" s="21"/>
    </row>
    <row r="164" spans="1:6" x14ac:dyDescent="0.25">
      <c r="A164" s="11"/>
      <c r="B164" s="19"/>
      <c r="C164" s="12">
        <f>-14.5-105</f>
        <v>-119.5</v>
      </c>
      <c r="D164" s="20"/>
      <c r="E164" s="20"/>
      <c r="F164" s="21"/>
    </row>
    <row r="165" spans="1:6" ht="37.5" x14ac:dyDescent="0.25">
      <c r="A165" s="22" t="s">
        <v>17</v>
      </c>
    </row>
    <row r="166" spans="1:6" ht="15.75" thickBot="1" x14ac:dyDescent="0.3">
      <c r="A166" s="3" t="s">
        <v>233</v>
      </c>
      <c r="B166" s="4"/>
      <c r="C166" s="4" t="s">
        <v>8</v>
      </c>
      <c r="D166" s="4" t="s">
        <v>9</v>
      </c>
      <c r="E166" s="4" t="s">
        <v>10</v>
      </c>
      <c r="F166" s="4" t="s">
        <v>11</v>
      </c>
    </row>
    <row r="167" spans="1:6" x14ac:dyDescent="0.25">
      <c r="A167" s="5">
        <v>125</v>
      </c>
      <c r="B167" s="25">
        <v>29</v>
      </c>
      <c r="C167" s="8" t="s">
        <v>145</v>
      </c>
      <c r="D167" s="16">
        <f>7.5-105</f>
        <v>-97.5</v>
      </c>
      <c r="E167" s="16" t="s">
        <v>145</v>
      </c>
      <c r="F167" s="16">
        <v>330</v>
      </c>
    </row>
    <row r="168" spans="1:6" x14ac:dyDescent="0.25">
      <c r="A168" s="6" t="s">
        <v>238</v>
      </c>
      <c r="B168" s="24"/>
      <c r="C168" s="8"/>
      <c r="D168" s="15"/>
      <c r="E168" s="15"/>
      <c r="F168" s="15"/>
    </row>
    <row r="169" spans="1:6" x14ac:dyDescent="0.25">
      <c r="A169" s="7"/>
      <c r="B169" s="24"/>
      <c r="C169" s="8" t="s">
        <v>239</v>
      </c>
      <c r="D169" s="15"/>
      <c r="E169" s="15"/>
      <c r="F169" s="15"/>
    </row>
    <row r="170" spans="1:6" x14ac:dyDescent="0.25">
      <c r="A170" s="7"/>
      <c r="B170" s="24"/>
      <c r="C170" s="8"/>
      <c r="D170" s="15"/>
      <c r="E170" s="15"/>
      <c r="F170" s="15"/>
    </row>
    <row r="171" spans="1:6" x14ac:dyDescent="0.25">
      <c r="A171" s="7"/>
      <c r="B171" s="24"/>
      <c r="C171" s="8" t="s">
        <v>239</v>
      </c>
      <c r="D171" s="15"/>
      <c r="E171" s="15"/>
      <c r="F171" s="15"/>
    </row>
    <row r="172" spans="1:6" x14ac:dyDescent="0.25">
      <c r="A172" s="9">
        <v>126</v>
      </c>
      <c r="B172" s="26">
        <v>24</v>
      </c>
      <c r="C172" s="12">
        <f>-7.5-115</f>
        <v>-122.5</v>
      </c>
      <c r="D172" s="20">
        <f>-7.5-115</f>
        <v>-122.5</v>
      </c>
      <c r="E172" s="20" t="s">
        <v>241</v>
      </c>
      <c r="F172" s="20">
        <v>-410</v>
      </c>
    </row>
    <row r="173" spans="1:6" x14ac:dyDescent="0.25">
      <c r="A173" s="10" t="s">
        <v>240</v>
      </c>
      <c r="B173" s="26"/>
      <c r="C173" s="12"/>
      <c r="D173" s="20"/>
      <c r="E173" s="20"/>
      <c r="F173" s="20"/>
    </row>
    <row r="174" spans="1:6" x14ac:dyDescent="0.25">
      <c r="A174" s="11"/>
      <c r="B174" s="26"/>
      <c r="C174" s="12">
        <f>-7.5-115</f>
        <v>-122.5</v>
      </c>
      <c r="D174" s="20"/>
      <c r="E174" s="20"/>
      <c r="F174" s="20"/>
    </row>
    <row r="175" spans="1:6" x14ac:dyDescent="0.25">
      <c r="A175" s="11"/>
      <c r="B175" s="26"/>
      <c r="C175" s="12"/>
      <c r="D175" s="20"/>
      <c r="E175" s="20"/>
      <c r="F175" s="20"/>
    </row>
    <row r="176" spans="1:6" x14ac:dyDescent="0.25">
      <c r="A176" s="11"/>
      <c r="B176" s="26"/>
      <c r="C176" s="12">
        <f>-7.5-108</f>
        <v>-115.5</v>
      </c>
      <c r="D176" s="20"/>
      <c r="E176" s="20"/>
      <c r="F176" s="20"/>
    </row>
    <row r="177" spans="1:6" ht="37.5" x14ac:dyDescent="0.25">
      <c r="A177" s="22" t="s">
        <v>17</v>
      </c>
    </row>
    <row r="178" spans="1:6" ht="15.75" thickBot="1" x14ac:dyDescent="0.3">
      <c r="A178" s="3" t="s">
        <v>242</v>
      </c>
      <c r="B178" s="4"/>
      <c r="C178" s="4" t="s">
        <v>8</v>
      </c>
      <c r="D178" s="4" t="s">
        <v>9</v>
      </c>
      <c r="E178" s="4" t="s">
        <v>10</v>
      </c>
      <c r="F178" s="4" t="s">
        <v>11</v>
      </c>
    </row>
    <row r="179" spans="1:6" x14ac:dyDescent="0.25">
      <c r="A179" s="5">
        <v>113</v>
      </c>
      <c r="B179" s="25">
        <v>28</v>
      </c>
      <c r="C179" s="8" t="s">
        <v>244</v>
      </c>
      <c r="D179" s="16">
        <f>3.5-102</f>
        <v>-98.5</v>
      </c>
      <c r="E179" s="16" t="s">
        <v>244</v>
      </c>
      <c r="F179" s="16">
        <v>170</v>
      </c>
    </row>
    <row r="180" spans="1:6" x14ac:dyDescent="0.25">
      <c r="A180" s="6" t="s">
        <v>243</v>
      </c>
      <c r="B180" s="24"/>
      <c r="C180" s="8"/>
      <c r="D180" s="15"/>
      <c r="E180" s="15"/>
      <c r="F180" s="15"/>
    </row>
    <row r="181" spans="1:6" x14ac:dyDescent="0.25">
      <c r="A181" s="7"/>
      <c r="B181" s="24"/>
      <c r="C181" s="8" t="s">
        <v>244</v>
      </c>
      <c r="D181" s="15"/>
      <c r="E181" s="15"/>
      <c r="F181" s="15"/>
    </row>
    <row r="182" spans="1:6" x14ac:dyDescent="0.25">
      <c r="A182" s="7"/>
      <c r="B182" s="24"/>
      <c r="C182" s="8"/>
      <c r="D182" s="15"/>
      <c r="E182" s="15"/>
      <c r="F182" s="15"/>
    </row>
    <row r="183" spans="1:6" x14ac:dyDescent="0.25">
      <c r="A183" s="7"/>
      <c r="B183" s="24"/>
      <c r="C183" s="8" t="s">
        <v>244</v>
      </c>
      <c r="D183" s="15"/>
      <c r="E183" s="15"/>
      <c r="F183" s="15"/>
    </row>
    <row r="184" spans="1:6" x14ac:dyDescent="0.25">
      <c r="A184" s="9">
        <v>114</v>
      </c>
      <c r="B184" s="26">
        <v>24</v>
      </c>
      <c r="C184" s="12">
        <f>-3.5-118</f>
        <v>-121.5</v>
      </c>
      <c r="D184" s="20">
        <f>-3.5-118</f>
        <v>-121.5</v>
      </c>
      <c r="E184" s="20" t="s">
        <v>25</v>
      </c>
      <c r="F184" s="20">
        <v>-205</v>
      </c>
    </row>
    <row r="185" spans="1:6" x14ac:dyDescent="0.25">
      <c r="A185" s="10" t="s">
        <v>245</v>
      </c>
      <c r="B185" s="26"/>
      <c r="C185" s="12"/>
      <c r="D185" s="20"/>
      <c r="E185" s="20"/>
      <c r="F185" s="20"/>
    </row>
    <row r="186" spans="1:6" x14ac:dyDescent="0.25">
      <c r="A186" s="11"/>
      <c r="B186" s="26"/>
      <c r="C186" s="12">
        <f>-3.5-115</f>
        <v>-118.5</v>
      </c>
      <c r="D186" s="20"/>
      <c r="E186" s="20"/>
      <c r="F186" s="20"/>
    </row>
    <row r="187" spans="1:6" x14ac:dyDescent="0.25">
      <c r="A187" s="11"/>
      <c r="B187" s="26"/>
      <c r="C187" s="12"/>
      <c r="D187" s="20"/>
      <c r="E187" s="20"/>
      <c r="F187" s="20"/>
    </row>
    <row r="188" spans="1:6" x14ac:dyDescent="0.25">
      <c r="A188" s="11"/>
      <c r="B188" s="26"/>
      <c r="C188" s="12">
        <f>-4.5-105</f>
        <v>-109.5</v>
      </c>
      <c r="D188" s="20"/>
      <c r="E188" s="20"/>
      <c r="F188" s="20"/>
    </row>
    <row r="189" spans="1:6" ht="38.25" thickBot="1" x14ac:dyDescent="0.3">
      <c r="A189" s="22" t="s">
        <v>17</v>
      </c>
    </row>
    <row r="190" spans="1:6" ht="56.25" x14ac:dyDescent="0.25">
      <c r="A190" s="27" t="s">
        <v>174</v>
      </c>
    </row>
    <row r="191" spans="1:6" ht="15.75" thickBot="1" x14ac:dyDescent="0.3">
      <c r="A191" s="3" t="s">
        <v>246</v>
      </c>
      <c r="B191" s="4"/>
      <c r="C191" s="4" t="s">
        <v>8</v>
      </c>
      <c r="D191" s="4" t="s">
        <v>9</v>
      </c>
      <c r="E191" s="4" t="s">
        <v>10</v>
      </c>
      <c r="F191" s="4" t="s">
        <v>11</v>
      </c>
    </row>
    <row r="192" spans="1:6" x14ac:dyDescent="0.25">
      <c r="A192" s="5">
        <v>131</v>
      </c>
      <c r="B192" s="25">
        <v>48</v>
      </c>
      <c r="C192" s="8">
        <f>-4.5-105</f>
        <v>-109.5</v>
      </c>
      <c r="D192" s="16">
        <f>-4.5-105</f>
        <v>-109.5</v>
      </c>
      <c r="E192" s="16" t="s">
        <v>248</v>
      </c>
      <c r="F192" s="16">
        <v>-218</v>
      </c>
    </row>
    <row r="193" spans="1:6" x14ac:dyDescent="0.25">
      <c r="A193" s="6" t="s">
        <v>247</v>
      </c>
      <c r="B193" s="24"/>
      <c r="C193" s="8"/>
      <c r="D193" s="15"/>
      <c r="E193" s="15"/>
      <c r="F193" s="15"/>
    </row>
    <row r="194" spans="1:6" x14ac:dyDescent="0.25">
      <c r="A194" s="7"/>
      <c r="B194" s="24"/>
      <c r="C194" s="8">
        <f>-4.5-110</f>
        <v>-114.5</v>
      </c>
      <c r="D194" s="15"/>
      <c r="E194" s="15"/>
      <c r="F194" s="15"/>
    </row>
    <row r="195" spans="1:6" x14ac:dyDescent="0.25">
      <c r="A195" s="7"/>
      <c r="B195" s="24"/>
      <c r="C195" s="8"/>
      <c r="D195" s="15"/>
      <c r="E195" s="15"/>
      <c r="F195" s="15"/>
    </row>
    <row r="196" spans="1:6" x14ac:dyDescent="0.25">
      <c r="A196" s="7"/>
      <c r="B196" s="24"/>
      <c r="C196" s="8">
        <f>-4.5-110</f>
        <v>-114.5</v>
      </c>
      <c r="D196" s="15"/>
      <c r="E196" s="15"/>
      <c r="F196" s="15"/>
    </row>
    <row r="197" spans="1:6" x14ac:dyDescent="0.25">
      <c r="A197" s="9">
        <v>132</v>
      </c>
      <c r="B197" s="26">
        <v>27</v>
      </c>
      <c r="C197" s="12" t="s">
        <v>248</v>
      </c>
      <c r="D197" s="20">
        <f>4.5-115</f>
        <v>-110.5</v>
      </c>
      <c r="E197" s="20" t="s">
        <v>251</v>
      </c>
      <c r="F197" s="20">
        <v>185</v>
      </c>
    </row>
    <row r="198" spans="1:6" x14ac:dyDescent="0.25">
      <c r="A198" s="10" t="s">
        <v>249</v>
      </c>
      <c r="B198" s="26"/>
      <c r="C198" s="12"/>
      <c r="D198" s="20"/>
      <c r="E198" s="20"/>
      <c r="F198" s="20"/>
    </row>
    <row r="199" spans="1:6" x14ac:dyDescent="0.25">
      <c r="A199" s="11"/>
      <c r="B199" s="26"/>
      <c r="C199" s="12" t="s">
        <v>248</v>
      </c>
      <c r="D199" s="20"/>
      <c r="E199" s="20"/>
      <c r="F199" s="20"/>
    </row>
    <row r="200" spans="1:6" x14ac:dyDescent="0.25">
      <c r="A200" s="11"/>
      <c r="B200" s="26"/>
      <c r="C200" s="12"/>
      <c r="D200" s="20"/>
      <c r="E200" s="20"/>
      <c r="F200" s="20"/>
    </row>
    <row r="201" spans="1:6" x14ac:dyDescent="0.25">
      <c r="A201" s="11"/>
      <c r="B201" s="26"/>
      <c r="C201" s="12" t="s">
        <v>250</v>
      </c>
      <c r="D201" s="20"/>
      <c r="E201" s="20"/>
      <c r="F201" s="20"/>
    </row>
  </sheetData>
  <mergeCells count="128">
    <mergeCell ref="B192:B196"/>
    <mergeCell ref="D192:D196"/>
    <mergeCell ref="E192:E196"/>
    <mergeCell ref="F192:F196"/>
    <mergeCell ref="B197:B201"/>
    <mergeCell ref="D197:D201"/>
    <mergeCell ref="E197:E201"/>
    <mergeCell ref="F197:F201"/>
    <mergeCell ref="B179:B183"/>
    <mergeCell ref="D179:D183"/>
    <mergeCell ref="E179:E183"/>
    <mergeCell ref="F179:F183"/>
    <mergeCell ref="B184:B188"/>
    <mergeCell ref="D184:D188"/>
    <mergeCell ref="E184:E188"/>
    <mergeCell ref="F184:F188"/>
    <mergeCell ref="B167:B171"/>
    <mergeCell ref="D167:D171"/>
    <mergeCell ref="E167:E171"/>
    <mergeCell ref="F167:F171"/>
    <mergeCell ref="B172:B176"/>
    <mergeCell ref="D172:D176"/>
    <mergeCell ref="E172:E176"/>
    <mergeCell ref="F172:F176"/>
    <mergeCell ref="B155:B159"/>
    <mergeCell ref="D155:D159"/>
    <mergeCell ref="E155:E159"/>
    <mergeCell ref="F155:F159"/>
    <mergeCell ref="B160:B164"/>
    <mergeCell ref="D160:D164"/>
    <mergeCell ref="E160:E164"/>
    <mergeCell ref="F160:F164"/>
    <mergeCell ref="B143:B147"/>
    <mergeCell ref="D143:D147"/>
    <mergeCell ref="E143:E147"/>
    <mergeCell ref="F143:F147"/>
    <mergeCell ref="B148:B152"/>
    <mergeCell ref="D148:D152"/>
    <mergeCell ref="E148:E152"/>
    <mergeCell ref="F148:F152"/>
    <mergeCell ref="B131:B135"/>
    <mergeCell ref="D131:D135"/>
    <mergeCell ref="E131:E135"/>
    <mergeCell ref="F131:F135"/>
    <mergeCell ref="B136:B140"/>
    <mergeCell ref="D136:D140"/>
    <mergeCell ref="E136:E140"/>
    <mergeCell ref="F136:F140"/>
    <mergeCell ref="B119:B123"/>
    <mergeCell ref="D119:D123"/>
    <mergeCell ref="E119:E123"/>
    <mergeCell ref="F119:F123"/>
    <mergeCell ref="B124:B128"/>
    <mergeCell ref="D124:D128"/>
    <mergeCell ref="E124:E128"/>
    <mergeCell ref="F124:F128"/>
    <mergeCell ref="B107:B111"/>
    <mergeCell ref="D107:D111"/>
    <mergeCell ref="E107:E111"/>
    <mergeCell ref="F107:F111"/>
    <mergeCell ref="B112:B116"/>
    <mergeCell ref="D112:D116"/>
    <mergeCell ref="E112:E116"/>
    <mergeCell ref="F112:F116"/>
    <mergeCell ref="B95:B99"/>
    <mergeCell ref="D95:D99"/>
    <mergeCell ref="E95:E99"/>
    <mergeCell ref="F95:F99"/>
    <mergeCell ref="B100:B104"/>
    <mergeCell ref="D100:D104"/>
    <mergeCell ref="E100:E104"/>
    <mergeCell ref="F100:F104"/>
    <mergeCell ref="B83:B87"/>
    <mergeCell ref="D83:D87"/>
    <mergeCell ref="E83:E87"/>
    <mergeCell ref="F83:F87"/>
    <mergeCell ref="B88:B92"/>
    <mergeCell ref="D88:D92"/>
    <mergeCell ref="E88:E92"/>
    <mergeCell ref="F88:F92"/>
    <mergeCell ref="B71:B75"/>
    <mergeCell ref="D71:D75"/>
    <mergeCell ref="E71:E75"/>
    <mergeCell ref="F71:F75"/>
    <mergeCell ref="B76:B80"/>
    <mergeCell ref="D76:D80"/>
    <mergeCell ref="E76:E80"/>
    <mergeCell ref="F76:F80"/>
    <mergeCell ref="B59:B63"/>
    <mergeCell ref="D59:D63"/>
    <mergeCell ref="E59:E63"/>
    <mergeCell ref="F59:F63"/>
    <mergeCell ref="B64:B68"/>
    <mergeCell ref="D64:D68"/>
    <mergeCell ref="E64:E68"/>
    <mergeCell ref="F64:F68"/>
    <mergeCell ref="B47:B51"/>
    <mergeCell ref="D47:D51"/>
    <mergeCell ref="E47:E51"/>
    <mergeCell ref="F47:F51"/>
    <mergeCell ref="B52:B56"/>
    <mergeCell ref="D52:D56"/>
    <mergeCell ref="E52:E56"/>
    <mergeCell ref="F52:F56"/>
    <mergeCell ref="B35:B39"/>
    <mergeCell ref="D35:D39"/>
    <mergeCell ref="E35:E39"/>
    <mergeCell ref="F35:F39"/>
    <mergeCell ref="B40:B44"/>
    <mergeCell ref="D40:D44"/>
    <mergeCell ref="E40:E44"/>
    <mergeCell ref="F40:F44"/>
    <mergeCell ref="B23:B27"/>
    <mergeCell ref="D23:D27"/>
    <mergeCell ref="E23:E27"/>
    <mergeCell ref="F23:F27"/>
    <mergeCell ref="B28:B32"/>
    <mergeCell ref="D28:D32"/>
    <mergeCell ref="E28:E32"/>
    <mergeCell ref="F28:F32"/>
    <mergeCell ref="B9:B13"/>
    <mergeCell ref="D9:D13"/>
    <mergeCell ref="E9:E13"/>
    <mergeCell ref="F9:F13"/>
    <mergeCell ref="B14:B18"/>
    <mergeCell ref="D14:D18"/>
    <mergeCell ref="E14:E18"/>
    <mergeCell ref="F14:F18"/>
  </mergeCells>
  <hyperlinks>
    <hyperlink ref="A2" r:id="rId1" display="https://www.scoresandodds.com/nfl/odds" xr:uid="{187ABF54-C8BE-4735-9CB7-DEA2BB4D871F}"/>
    <hyperlink ref="A3" r:id="rId2" display="https://www.scoresandodds.com/nfl/consensus-picks" xr:uid="{A992B8E3-74CE-4031-90C9-E29F9012E123}"/>
    <hyperlink ref="A4" r:id="rId3" display="https://www.scoresandodds.com/nfl/more-lines" xr:uid="{2ACDA4AC-7C78-4350-B362-7E91C432FC37}"/>
    <hyperlink ref="A5" r:id="rId4" display="https://www.scoresandodds.com/nfl/props" xr:uid="{206F1225-3DD8-445D-9689-885AE89FBD3B}"/>
    <hyperlink ref="A6" r:id="rId5" display="https://www.scoresandodds.com/nfl/parlays" xr:uid="{91BC8AEC-FE10-4C97-A23E-5DEAD2A56F58}"/>
    <hyperlink ref="A7" r:id="rId6" display="https://www.scoresandodds.com/nfl/picks" xr:uid="{B25B5476-3807-41D5-9EDC-4ACD87E141AE}"/>
    <hyperlink ref="A10" r:id="rId7" display="https://www.scoresandodds.com/nfl/teams/rams" xr:uid="{91E8BEB9-E00D-4132-93CC-1445C8F9D100}"/>
    <hyperlink ref="A15" r:id="rId8" display="https://www.scoresandodds.com/nfl/teams/seahawks" xr:uid="{9B3B1C3B-3370-437D-B349-9EC367707BD7}"/>
    <hyperlink ref="A24" r:id="rId9" display="https://www.scoresandodds.com/nfl/teams/eagles" xr:uid="{8C64FFF3-885B-452E-BFDF-6607C62A2804}"/>
    <hyperlink ref="A29" r:id="rId10" display="https://www.scoresandodds.com/nfl/teams/commanders" xr:uid="{A4E6F37C-E311-4928-A1D5-B8D00E702ECA}"/>
    <hyperlink ref="A36" r:id="rId11" display="https://www.scoresandodds.com/nfl/teams/packers" xr:uid="{A2302EED-FF5B-4F94-B0B9-CF2CB82788A4}"/>
    <hyperlink ref="A41" r:id="rId12" display="https://www.scoresandodds.com/nfl/teams/bears" xr:uid="{49219B11-E95F-4679-93E4-2C32A940D471}"/>
    <hyperlink ref="A48" r:id="rId13" display="https://www.scoresandodds.com/nfl/teams/jets" xr:uid="{F51FBFBC-7CB4-40C4-B3B0-F5FE4BA8BA73}"/>
    <hyperlink ref="A53" r:id="rId14" display="https://www.scoresandodds.com/nfl/teams/saints" xr:uid="{E23A6C7E-FA53-4847-A31D-8D2207EAC14B}"/>
    <hyperlink ref="A60" r:id="rId15" display="https://www.scoresandodds.com/nfl/teams/chargers" xr:uid="{D80569A5-69B4-4FA8-86C8-54F6BB30836A}"/>
    <hyperlink ref="A65" r:id="rId16" display="https://www.scoresandodds.com/nfl/teams/cowboys" xr:uid="{9AB06672-9654-4C5D-9BE7-E7BCACCAA77E}"/>
    <hyperlink ref="A72" r:id="rId17" display="https://www.scoresandodds.com/nfl/teams/buccaneers" xr:uid="{D9822CE4-7E40-4873-B710-ED189950DD7B}"/>
    <hyperlink ref="A77" r:id="rId18" display="https://www.scoresandodds.com/nfl/teams/panthers" xr:uid="{93018A23-7A92-423D-9DBA-0F5E9C472496}"/>
    <hyperlink ref="A84" r:id="rId19" display="https://www.scoresandodds.com/nfl/teams/chiefs" xr:uid="{350FEE96-5CE4-430F-9955-9CBC2AE48CAF}"/>
    <hyperlink ref="A89" r:id="rId20" display="https://www.scoresandodds.com/nfl/teams/titans" xr:uid="{20AB919C-76D3-4570-ADDE-E5CE843CD42B}"/>
    <hyperlink ref="A96" r:id="rId21" display="https://www.scoresandodds.com/nfl/teams/vikings" xr:uid="{DF8C4061-EA15-4DA0-9415-2092F5F2C3C0}"/>
    <hyperlink ref="A101" r:id="rId22" display="https://www.scoresandodds.com/nfl/teams/giants" xr:uid="{83AE3E59-5631-44FF-84C4-A756B43B82EF}"/>
    <hyperlink ref="A108" r:id="rId23" display="https://www.scoresandodds.com/nfl/teams/bengals" xr:uid="{220241D3-F810-4D50-923C-CD59439B12E9}"/>
    <hyperlink ref="A113" r:id="rId24" display="https://www.scoresandodds.com/nfl/teams/dolphins" xr:uid="{E97D30FB-1CD2-4B25-9140-BAF67674598E}"/>
    <hyperlink ref="A120" r:id="rId25" display="https://www.scoresandodds.com/nfl/teams/bills" xr:uid="{70E49DD5-01F7-4E73-82D0-1AE855371728}"/>
    <hyperlink ref="A125" r:id="rId26" display="https://www.scoresandodds.com/nfl/teams/browns" xr:uid="{688B32D2-AADE-4EC7-BBE6-059560504486}"/>
    <hyperlink ref="A132" r:id="rId27" display="https://www.scoresandodds.com/nfl/teams/falcons" xr:uid="{65700595-B01E-4331-9973-D0BB6C8E0F6A}"/>
    <hyperlink ref="A137" r:id="rId28" display="https://www.scoresandodds.com/nfl/teams/cardinals" xr:uid="{3158F391-5DA4-4E21-BF2C-9BEF9BA09EF3}"/>
    <hyperlink ref="A144" r:id="rId29" display="https://www.scoresandodds.com/nfl/teams/jaguars" xr:uid="{3C77138D-FA61-40C7-86A4-A05CE88FF3C1}"/>
    <hyperlink ref="A149" r:id="rId30" display="https://www.scoresandodds.com/nfl/teams/broncos" xr:uid="{6FADE0BC-F45D-4D9C-93B9-19628CD887A4}"/>
    <hyperlink ref="A156" r:id="rId31" display="https://www.scoresandodds.com/nfl/teams/raiders" xr:uid="{A6302FE0-9641-4310-AA47-B6AA2F91FD02}"/>
    <hyperlink ref="A161" r:id="rId32" display="https://www.scoresandodds.com/nfl/teams/texans" xr:uid="{AD679C33-2CCA-465D-8B1E-8758FBCCFA14}"/>
    <hyperlink ref="A168" r:id="rId33" display="https://www.scoresandodds.com/nfl/teams/steelers" xr:uid="{595C6ED8-489D-4B92-927A-C4181FF624AE}"/>
    <hyperlink ref="A173" r:id="rId34" display="https://www.scoresandodds.com/nfl/teams/lions" xr:uid="{6395CA21-E601-437D-A0B4-0EAEF348BC5E}"/>
    <hyperlink ref="A180" r:id="rId35" display="https://www.scoresandodds.com/nfl/teams/patriots" xr:uid="{AC522783-568F-477C-AE9A-CD553D0B1C27}"/>
    <hyperlink ref="A185" r:id="rId36" display="https://www.scoresandodds.com/nfl/teams/ravens" xr:uid="{700857D0-713A-439F-AF12-0CA1ED5A6BF6}"/>
    <hyperlink ref="A193" r:id="rId37" display="https://www.scoresandodds.com/nfl/teams/49ers" xr:uid="{50B7AB44-82ED-4316-9BAF-7C729BD23A61}"/>
    <hyperlink ref="A198" r:id="rId38" display="https://www.scoresandodds.com/nfl/teams/colts" xr:uid="{4ACF38D9-DA36-424B-AC3E-677BB07B679D}"/>
  </hyperlinks>
  <pageMargins left="0.7" right="0.7" top="0.75" bottom="0.75" header="0.3" footer="0.3"/>
  <drawing r:id="rId39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14FA-E92D-4D54-9DAD-35EE68633215}">
  <dimension ref="A1:F201"/>
  <sheetViews>
    <sheetView workbookViewId="0">
      <selection activeCell="H19" sqref="H19"/>
    </sheetView>
  </sheetViews>
  <sheetFormatPr baseColWidth="10" defaultRowHeight="15" x14ac:dyDescent="0.25"/>
  <cols>
    <col min="1" max="1" width="70.5703125" bestFit="1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3" spans="1:6" x14ac:dyDescent="0.25">
      <c r="A3" s="2" t="s">
        <v>2</v>
      </c>
    </row>
    <row r="4" spans="1:6" x14ac:dyDescent="0.25">
      <c r="A4" s="2" t="s">
        <v>3</v>
      </c>
    </row>
    <row r="5" spans="1:6" x14ac:dyDescent="0.25">
      <c r="A5" s="2" t="s">
        <v>4</v>
      </c>
    </row>
    <row r="6" spans="1:6" x14ac:dyDescent="0.25">
      <c r="A6" s="2" t="s">
        <v>5</v>
      </c>
    </row>
    <row r="7" spans="1:6" x14ac:dyDescent="0.25">
      <c r="A7" s="2" t="s">
        <v>6</v>
      </c>
    </row>
    <row r="8" spans="1:6" ht="15.75" thickBot="1" x14ac:dyDescent="0.3">
      <c r="A8" s="3" t="s">
        <v>97</v>
      </c>
      <c r="B8" s="4"/>
      <c r="C8" s="4" t="s">
        <v>8</v>
      </c>
      <c r="D8" s="4" t="s">
        <v>9</v>
      </c>
      <c r="E8" s="4" t="s">
        <v>10</v>
      </c>
      <c r="F8" s="4" t="s">
        <v>11</v>
      </c>
    </row>
    <row r="9" spans="1:6" x14ac:dyDescent="0.25">
      <c r="A9" s="5">
        <v>401</v>
      </c>
      <c r="B9" s="25">
        <v>30</v>
      </c>
      <c r="C9" s="8">
        <f>-8.5-118</f>
        <v>-126.5</v>
      </c>
      <c r="D9" s="18">
        <f>-8.5-118</f>
        <v>-126.5</v>
      </c>
      <c r="E9" s="16" t="s">
        <v>99</v>
      </c>
      <c r="F9" s="16">
        <v>-485</v>
      </c>
    </row>
    <row r="10" spans="1:6" x14ac:dyDescent="0.25">
      <c r="A10" s="6" t="s">
        <v>98</v>
      </c>
      <c r="B10" s="24"/>
      <c r="C10" s="8"/>
      <c r="D10" s="17"/>
      <c r="E10" s="15"/>
      <c r="F10" s="15"/>
    </row>
    <row r="11" spans="1:6" x14ac:dyDescent="0.25">
      <c r="A11" s="7"/>
      <c r="B11" s="24"/>
      <c r="C11" s="8">
        <f>-8.5-115</f>
        <v>-123.5</v>
      </c>
      <c r="D11" s="17"/>
      <c r="E11" s="15"/>
      <c r="F11" s="15"/>
    </row>
    <row r="12" spans="1:6" x14ac:dyDescent="0.25">
      <c r="A12" s="7"/>
      <c r="B12" s="24"/>
      <c r="C12" s="8"/>
      <c r="D12" s="17"/>
      <c r="E12" s="15"/>
      <c r="F12" s="15"/>
    </row>
    <row r="13" spans="1:6" x14ac:dyDescent="0.25">
      <c r="A13" s="7"/>
      <c r="B13" s="24"/>
      <c r="C13" s="8">
        <f>-8.5-108</f>
        <v>-116.5</v>
      </c>
      <c r="D13" s="17"/>
      <c r="E13" s="15"/>
      <c r="F13" s="15"/>
    </row>
    <row r="14" spans="1:6" x14ac:dyDescent="0.25">
      <c r="A14" s="9">
        <v>402</v>
      </c>
      <c r="B14" s="26">
        <v>23</v>
      </c>
      <c r="C14" s="12" t="s">
        <v>101</v>
      </c>
      <c r="D14" s="21">
        <f>8.5-102</f>
        <v>-93.5</v>
      </c>
      <c r="E14" s="20" t="s">
        <v>101</v>
      </c>
      <c r="F14" s="20">
        <v>380</v>
      </c>
    </row>
    <row r="15" spans="1:6" x14ac:dyDescent="0.25">
      <c r="A15" s="10" t="s">
        <v>100</v>
      </c>
      <c r="B15" s="26"/>
      <c r="C15" s="12"/>
      <c r="D15" s="21"/>
      <c r="E15" s="20"/>
      <c r="F15" s="20"/>
    </row>
    <row r="16" spans="1:6" x14ac:dyDescent="0.25">
      <c r="A16" s="11"/>
      <c r="B16" s="26"/>
      <c r="C16" s="12" t="s">
        <v>101</v>
      </c>
      <c r="D16" s="21"/>
      <c r="E16" s="20"/>
      <c r="F16" s="20"/>
    </row>
    <row r="17" spans="1:6" x14ac:dyDescent="0.25">
      <c r="A17" s="11"/>
      <c r="B17" s="26"/>
      <c r="C17" s="12"/>
      <c r="D17" s="21"/>
      <c r="E17" s="20"/>
      <c r="F17" s="20"/>
    </row>
    <row r="18" spans="1:6" x14ac:dyDescent="0.25">
      <c r="A18" s="11"/>
      <c r="B18" s="26"/>
      <c r="C18" s="12" t="s">
        <v>101</v>
      </c>
      <c r="D18" s="21"/>
      <c r="E18" s="20"/>
      <c r="F18" s="20"/>
    </row>
    <row r="19" spans="1:6" ht="37.5" x14ac:dyDescent="0.25">
      <c r="A19" s="22" t="s">
        <v>17</v>
      </c>
    </row>
    <row r="20" spans="1:6" x14ac:dyDescent="0.25">
      <c r="A20" s="23" t="s">
        <v>102</v>
      </c>
    </row>
    <row r="21" spans="1:6" ht="15.75" thickBot="1" x14ac:dyDescent="0.3">
      <c r="A21" s="3" t="s">
        <v>103</v>
      </c>
      <c r="B21" s="4"/>
      <c r="C21" s="4" t="s">
        <v>8</v>
      </c>
      <c r="D21" s="4" t="s">
        <v>9</v>
      </c>
      <c r="E21" s="4" t="s">
        <v>10</v>
      </c>
      <c r="F21" s="4" t="s">
        <v>11</v>
      </c>
    </row>
    <row r="22" spans="1:6" x14ac:dyDescent="0.25">
      <c r="A22" s="5">
        <v>403</v>
      </c>
      <c r="B22" s="14">
        <v>10</v>
      </c>
      <c r="C22" s="8" t="s">
        <v>105</v>
      </c>
      <c r="D22" s="18" t="s">
        <v>105</v>
      </c>
      <c r="E22" s="18" t="s">
        <v>106</v>
      </c>
      <c r="F22" s="18">
        <v>-375</v>
      </c>
    </row>
    <row r="23" spans="1:6" x14ac:dyDescent="0.25">
      <c r="A23" s="6" t="s">
        <v>104</v>
      </c>
      <c r="B23" s="13"/>
      <c r="C23" s="8"/>
      <c r="D23" s="17"/>
      <c r="E23" s="17"/>
      <c r="F23" s="17"/>
    </row>
    <row r="24" spans="1:6" x14ac:dyDescent="0.25">
      <c r="A24" s="7"/>
      <c r="B24" s="13"/>
      <c r="C24" s="8">
        <f>-7-120</f>
        <v>-127</v>
      </c>
      <c r="D24" s="17"/>
      <c r="E24" s="17"/>
      <c r="F24" s="17"/>
    </row>
    <row r="25" spans="1:6" x14ac:dyDescent="0.25">
      <c r="A25" s="7"/>
      <c r="B25" s="13"/>
      <c r="C25" s="8"/>
      <c r="D25" s="17"/>
      <c r="E25" s="17"/>
      <c r="F25" s="17"/>
    </row>
    <row r="26" spans="1:6" x14ac:dyDescent="0.25">
      <c r="A26" s="7"/>
      <c r="B26" s="13"/>
      <c r="C26" s="8">
        <f>-7-120</f>
        <v>-127</v>
      </c>
      <c r="D26" s="17"/>
      <c r="E26" s="17"/>
      <c r="F26" s="17"/>
    </row>
    <row r="27" spans="1:6" x14ac:dyDescent="0.25">
      <c r="A27" s="9">
        <v>404</v>
      </c>
      <c r="B27" s="19">
        <v>23</v>
      </c>
      <c r="C27" s="12" t="s">
        <v>106</v>
      </c>
      <c r="D27" s="21">
        <f>7.5-120</f>
        <v>-112.5</v>
      </c>
      <c r="E27" s="21" t="s">
        <v>109</v>
      </c>
      <c r="F27" s="21">
        <v>285</v>
      </c>
    </row>
    <row r="28" spans="1:6" x14ac:dyDescent="0.25">
      <c r="A28" s="10" t="s">
        <v>107</v>
      </c>
      <c r="B28" s="19"/>
      <c r="C28" s="12"/>
      <c r="D28" s="21"/>
      <c r="E28" s="21"/>
      <c r="F28" s="21"/>
    </row>
    <row r="29" spans="1:6" x14ac:dyDescent="0.25">
      <c r="A29" s="11"/>
      <c r="B29" s="19"/>
      <c r="C29" s="12" t="s">
        <v>106</v>
      </c>
      <c r="D29" s="21"/>
      <c r="E29" s="21"/>
      <c r="F29" s="21"/>
    </row>
    <row r="30" spans="1:6" x14ac:dyDescent="0.25">
      <c r="A30" s="11"/>
      <c r="B30" s="19"/>
      <c r="C30" s="12"/>
      <c r="D30" s="21"/>
      <c r="E30" s="21"/>
      <c r="F30" s="21"/>
    </row>
    <row r="31" spans="1:6" x14ac:dyDescent="0.25">
      <c r="A31" s="11"/>
      <c r="B31" s="19"/>
      <c r="C31" s="12" t="s">
        <v>108</v>
      </c>
      <c r="D31" s="21"/>
      <c r="E31" s="21"/>
      <c r="F31" s="21"/>
    </row>
    <row r="32" spans="1:6" ht="37.5" x14ac:dyDescent="0.25">
      <c r="A32" s="22" t="s">
        <v>17</v>
      </c>
    </row>
    <row r="33" spans="1:6" ht="15.75" thickBot="1" x14ac:dyDescent="0.3">
      <c r="A33" s="3" t="s">
        <v>110</v>
      </c>
      <c r="B33" s="4"/>
      <c r="C33" s="4" t="s">
        <v>8</v>
      </c>
      <c r="D33" s="4" t="s">
        <v>9</v>
      </c>
      <c r="E33" s="4" t="s">
        <v>10</v>
      </c>
      <c r="F33" s="4" t="s">
        <v>11</v>
      </c>
    </row>
    <row r="34" spans="1:6" x14ac:dyDescent="0.25">
      <c r="A34" s="5">
        <v>405</v>
      </c>
      <c r="B34" s="25">
        <v>20</v>
      </c>
      <c r="C34" s="8">
        <f>-13.5-110</f>
        <v>-123.5</v>
      </c>
      <c r="D34" s="18">
        <f>-13.5-110</f>
        <v>-123.5</v>
      </c>
      <c r="E34" s="18" t="s">
        <v>112</v>
      </c>
      <c r="F34" s="16">
        <v>-1100</v>
      </c>
    </row>
    <row r="35" spans="1:6" x14ac:dyDescent="0.25">
      <c r="A35" s="6" t="s">
        <v>111</v>
      </c>
      <c r="B35" s="24"/>
      <c r="C35" s="8"/>
      <c r="D35" s="17"/>
      <c r="E35" s="17"/>
      <c r="F35" s="15"/>
    </row>
    <row r="36" spans="1:6" x14ac:dyDescent="0.25">
      <c r="A36" s="7"/>
      <c r="B36" s="24"/>
      <c r="C36" s="8">
        <f>-13.5-105</f>
        <v>-118.5</v>
      </c>
      <c r="D36" s="17"/>
      <c r="E36" s="17"/>
      <c r="F36" s="15"/>
    </row>
    <row r="37" spans="1:6" x14ac:dyDescent="0.25">
      <c r="A37" s="7"/>
      <c r="B37" s="24"/>
      <c r="C37" s="8"/>
      <c r="D37" s="17"/>
      <c r="E37" s="17"/>
      <c r="F37" s="15"/>
    </row>
    <row r="38" spans="1:6" x14ac:dyDescent="0.25">
      <c r="A38" s="7"/>
      <c r="B38" s="24"/>
      <c r="C38" s="8">
        <f>-13.5-105</f>
        <v>-118.5</v>
      </c>
      <c r="D38" s="17"/>
      <c r="E38" s="17"/>
      <c r="F38" s="15"/>
    </row>
    <row r="39" spans="1:6" x14ac:dyDescent="0.25">
      <c r="A39" s="9">
        <v>406</v>
      </c>
      <c r="B39" s="26">
        <v>13</v>
      </c>
      <c r="C39" s="12" t="s">
        <v>114</v>
      </c>
      <c r="D39" s="21">
        <f>13.5-110</f>
        <v>-96.5</v>
      </c>
      <c r="E39" s="21" t="s">
        <v>114</v>
      </c>
      <c r="F39" s="20">
        <v>750</v>
      </c>
    </row>
    <row r="40" spans="1:6" x14ac:dyDescent="0.25">
      <c r="A40" s="10" t="s">
        <v>113</v>
      </c>
      <c r="B40" s="26"/>
      <c r="C40" s="12"/>
      <c r="D40" s="21"/>
      <c r="E40" s="21"/>
      <c r="F40" s="20"/>
    </row>
    <row r="41" spans="1:6" x14ac:dyDescent="0.25">
      <c r="A41" s="11"/>
      <c r="B41" s="26"/>
      <c r="C41" s="12" t="s">
        <v>114</v>
      </c>
      <c r="D41" s="21"/>
      <c r="E41" s="21"/>
      <c r="F41" s="20"/>
    </row>
    <row r="42" spans="1:6" x14ac:dyDescent="0.25">
      <c r="A42" s="11"/>
      <c r="B42" s="26"/>
      <c r="C42" s="12"/>
      <c r="D42" s="21"/>
      <c r="E42" s="21"/>
      <c r="F42" s="20"/>
    </row>
    <row r="43" spans="1:6" x14ac:dyDescent="0.25">
      <c r="A43" s="11"/>
      <c r="B43" s="26"/>
      <c r="C43" s="12" t="s">
        <v>115</v>
      </c>
      <c r="D43" s="21"/>
      <c r="E43" s="21"/>
      <c r="F43" s="20"/>
    </row>
    <row r="44" spans="1:6" ht="38.25" thickBot="1" x14ac:dyDescent="0.3">
      <c r="A44" s="22" t="s">
        <v>17</v>
      </c>
    </row>
    <row r="45" spans="1:6" ht="67.5" x14ac:dyDescent="0.25">
      <c r="A45" s="27" t="s">
        <v>116</v>
      </c>
    </row>
    <row r="46" spans="1:6" ht="15.75" thickBot="1" x14ac:dyDescent="0.3">
      <c r="A46" s="3" t="s">
        <v>117</v>
      </c>
      <c r="B46" s="4"/>
      <c r="C46" s="4" t="s">
        <v>8</v>
      </c>
      <c r="D46" s="4" t="s">
        <v>9</v>
      </c>
      <c r="E46" s="4" t="s">
        <v>10</v>
      </c>
      <c r="F46" s="4" t="s">
        <v>11</v>
      </c>
    </row>
    <row r="47" spans="1:6" x14ac:dyDescent="0.25">
      <c r="A47" s="5">
        <v>411</v>
      </c>
      <c r="B47" s="25">
        <v>20</v>
      </c>
      <c r="C47" s="8" t="s">
        <v>119</v>
      </c>
      <c r="D47" s="16">
        <f>1.5-115</f>
        <v>-113.5</v>
      </c>
      <c r="E47" s="18" t="s">
        <v>119</v>
      </c>
      <c r="F47" s="16">
        <v>-102</v>
      </c>
    </row>
    <row r="48" spans="1:6" x14ac:dyDescent="0.25">
      <c r="A48" s="6" t="s">
        <v>118</v>
      </c>
      <c r="B48" s="24"/>
      <c r="C48" s="8"/>
      <c r="D48" s="15"/>
      <c r="E48" s="17"/>
      <c r="F48" s="15"/>
    </row>
    <row r="49" spans="1:6" x14ac:dyDescent="0.25">
      <c r="A49" s="7"/>
      <c r="B49" s="24"/>
      <c r="C49" s="8" t="s">
        <v>119</v>
      </c>
      <c r="D49" s="15"/>
      <c r="E49" s="17"/>
      <c r="F49" s="15"/>
    </row>
    <row r="50" spans="1:6" x14ac:dyDescent="0.25">
      <c r="A50" s="7"/>
      <c r="B50" s="24"/>
      <c r="C50" s="8"/>
      <c r="D50" s="15"/>
      <c r="E50" s="17"/>
      <c r="F50" s="15"/>
    </row>
    <row r="51" spans="1:6" x14ac:dyDescent="0.25">
      <c r="A51" s="7"/>
      <c r="B51" s="24"/>
      <c r="C51" s="8" t="s">
        <v>120</v>
      </c>
      <c r="D51" s="15"/>
      <c r="E51" s="17"/>
      <c r="F51" s="15"/>
    </row>
    <row r="52" spans="1:6" x14ac:dyDescent="0.25">
      <c r="A52" s="9">
        <v>412</v>
      </c>
      <c r="B52" s="26">
        <v>16</v>
      </c>
      <c r="C52" s="12">
        <f>-1.5-105</f>
        <v>-106.5</v>
      </c>
      <c r="D52" s="20">
        <f>-1.5-105</f>
        <v>-106.5</v>
      </c>
      <c r="E52" s="21" t="s">
        <v>122</v>
      </c>
      <c r="F52" s="20">
        <v>-118</v>
      </c>
    </row>
    <row r="53" spans="1:6" x14ac:dyDescent="0.25">
      <c r="A53" s="10" t="s">
        <v>121</v>
      </c>
      <c r="B53" s="26"/>
      <c r="C53" s="12"/>
      <c r="D53" s="20"/>
      <c r="E53" s="21"/>
      <c r="F53" s="20"/>
    </row>
    <row r="54" spans="1:6" x14ac:dyDescent="0.25">
      <c r="A54" s="11"/>
      <c r="B54" s="26"/>
      <c r="C54" s="12">
        <f>-1.5-105</f>
        <v>-106.5</v>
      </c>
      <c r="D54" s="20"/>
      <c r="E54" s="21"/>
      <c r="F54" s="20"/>
    </row>
    <row r="55" spans="1:6" x14ac:dyDescent="0.25">
      <c r="A55" s="11"/>
      <c r="B55" s="26"/>
      <c r="C55" s="12"/>
      <c r="D55" s="20"/>
      <c r="E55" s="21"/>
      <c r="F55" s="20"/>
    </row>
    <row r="56" spans="1:6" x14ac:dyDescent="0.25">
      <c r="A56" s="11"/>
      <c r="B56" s="26"/>
      <c r="C56" s="12">
        <f>-1.5-105</f>
        <v>-106.5</v>
      </c>
      <c r="D56" s="20"/>
      <c r="E56" s="21"/>
      <c r="F56" s="20"/>
    </row>
    <row r="57" spans="1:6" ht="37.5" x14ac:dyDescent="0.25">
      <c r="A57" s="22" t="s">
        <v>17</v>
      </c>
    </row>
    <row r="58" spans="1:6" ht="15.75" thickBot="1" x14ac:dyDescent="0.3">
      <c r="A58" s="3" t="s">
        <v>123</v>
      </c>
      <c r="B58" s="4"/>
      <c r="C58" s="4" t="s">
        <v>8</v>
      </c>
      <c r="D58" s="4" t="s">
        <v>9</v>
      </c>
      <c r="E58" s="4" t="s">
        <v>10</v>
      </c>
      <c r="F58" s="4" t="s">
        <v>11</v>
      </c>
    </row>
    <row r="59" spans="1:6" x14ac:dyDescent="0.25">
      <c r="A59" s="5">
        <v>409</v>
      </c>
      <c r="B59" s="25">
        <v>41</v>
      </c>
      <c r="C59" s="8" t="s">
        <v>125</v>
      </c>
      <c r="D59" s="16">
        <f>2.5-108</f>
        <v>-105.5</v>
      </c>
      <c r="E59" s="16" t="s">
        <v>126</v>
      </c>
      <c r="F59" s="16">
        <v>120</v>
      </c>
    </row>
    <row r="60" spans="1:6" x14ac:dyDescent="0.25">
      <c r="A60" s="6" t="s">
        <v>124</v>
      </c>
      <c r="B60" s="24"/>
      <c r="C60" s="8"/>
      <c r="D60" s="15"/>
      <c r="E60" s="15"/>
      <c r="F60" s="15"/>
    </row>
    <row r="61" spans="1:6" x14ac:dyDescent="0.25">
      <c r="A61" s="7"/>
      <c r="B61" s="24"/>
      <c r="C61" s="8" t="s">
        <v>35</v>
      </c>
      <c r="D61" s="15"/>
      <c r="E61" s="15"/>
      <c r="F61" s="15"/>
    </row>
    <row r="62" spans="1:6" x14ac:dyDescent="0.25">
      <c r="A62" s="7"/>
      <c r="B62" s="24"/>
      <c r="C62" s="8"/>
      <c r="D62" s="15"/>
      <c r="E62" s="15"/>
      <c r="F62" s="15"/>
    </row>
    <row r="63" spans="1:6" x14ac:dyDescent="0.25">
      <c r="A63" s="7"/>
      <c r="B63" s="24"/>
      <c r="C63" s="8" t="s">
        <v>75</v>
      </c>
      <c r="D63" s="15"/>
      <c r="E63" s="15"/>
      <c r="F63" s="15"/>
    </row>
    <row r="64" spans="1:6" x14ac:dyDescent="0.25">
      <c r="A64" s="9">
        <v>410</v>
      </c>
      <c r="B64" s="26">
        <v>24</v>
      </c>
      <c r="C64" s="12">
        <f>-2.5-112</f>
        <v>-114.5</v>
      </c>
      <c r="D64" s="20">
        <f>-2.5-112</f>
        <v>-114.5</v>
      </c>
      <c r="E64" s="20" t="s">
        <v>125</v>
      </c>
      <c r="F64" s="20">
        <v>-142</v>
      </c>
    </row>
    <row r="65" spans="1:6" x14ac:dyDescent="0.25">
      <c r="A65" s="10" t="s">
        <v>127</v>
      </c>
      <c r="B65" s="26"/>
      <c r="C65" s="12"/>
      <c r="D65" s="20"/>
      <c r="E65" s="20"/>
      <c r="F65" s="20"/>
    </row>
    <row r="66" spans="1:6" x14ac:dyDescent="0.25">
      <c r="A66" s="11"/>
      <c r="B66" s="26"/>
      <c r="C66" s="12">
        <f>-2.5-112</f>
        <v>-114.5</v>
      </c>
      <c r="D66" s="20"/>
      <c r="E66" s="20"/>
      <c r="F66" s="20"/>
    </row>
    <row r="67" spans="1:6" x14ac:dyDescent="0.25">
      <c r="A67" s="11"/>
      <c r="B67" s="26"/>
      <c r="C67" s="12"/>
      <c r="D67" s="20"/>
      <c r="E67" s="20"/>
      <c r="F67" s="20"/>
    </row>
    <row r="68" spans="1:6" x14ac:dyDescent="0.25">
      <c r="A68" s="11"/>
      <c r="B68" s="26"/>
      <c r="C68" s="12">
        <f>-2.5-112</f>
        <v>-114.5</v>
      </c>
      <c r="D68" s="20"/>
      <c r="E68" s="20"/>
      <c r="F68" s="20"/>
    </row>
    <row r="69" spans="1:6" ht="37.5" x14ac:dyDescent="0.25">
      <c r="A69" s="22" t="s">
        <v>17</v>
      </c>
    </row>
    <row r="70" spans="1:6" ht="15.75" thickBot="1" x14ac:dyDescent="0.3">
      <c r="A70" s="3" t="s">
        <v>128</v>
      </c>
      <c r="B70" s="4"/>
      <c r="C70" s="4" t="s">
        <v>8</v>
      </c>
      <c r="D70" s="4" t="s">
        <v>9</v>
      </c>
      <c r="E70" s="4" t="s">
        <v>10</v>
      </c>
      <c r="F70" s="4" t="s">
        <v>11</v>
      </c>
    </row>
    <row r="71" spans="1:6" x14ac:dyDescent="0.25">
      <c r="A71" s="5">
        <v>425</v>
      </c>
      <c r="B71" s="25">
        <v>42</v>
      </c>
      <c r="C71" s="8">
        <f>-12.5-120</f>
        <v>-132.5</v>
      </c>
      <c r="D71" s="16">
        <f>-12.5-120</f>
        <v>-132.5</v>
      </c>
      <c r="E71" s="16" t="s">
        <v>130</v>
      </c>
      <c r="F71" s="16">
        <v>-1050</v>
      </c>
    </row>
    <row r="72" spans="1:6" x14ac:dyDescent="0.25">
      <c r="A72" s="6" t="s">
        <v>129</v>
      </c>
      <c r="B72" s="24"/>
      <c r="C72" s="8"/>
      <c r="D72" s="15"/>
      <c r="E72" s="15"/>
      <c r="F72" s="15"/>
    </row>
    <row r="73" spans="1:6" x14ac:dyDescent="0.25">
      <c r="A73" s="7"/>
      <c r="B73" s="24"/>
      <c r="C73" s="8">
        <f>-13.5-112</f>
        <v>-125.5</v>
      </c>
      <c r="D73" s="15"/>
      <c r="E73" s="15"/>
      <c r="F73" s="15"/>
    </row>
    <row r="74" spans="1:6" x14ac:dyDescent="0.25">
      <c r="A74" s="7"/>
      <c r="B74" s="24"/>
      <c r="C74" s="8"/>
      <c r="D74" s="15"/>
      <c r="E74" s="15"/>
      <c r="F74" s="15"/>
    </row>
    <row r="75" spans="1:6" x14ac:dyDescent="0.25">
      <c r="A75" s="7"/>
      <c r="B75" s="24"/>
      <c r="C75" s="8">
        <f>-13.5-118</f>
        <v>-131.5</v>
      </c>
      <c r="D75" s="15"/>
      <c r="E75" s="15"/>
      <c r="F75" s="15"/>
    </row>
    <row r="76" spans="1:6" x14ac:dyDescent="0.25">
      <c r="A76" s="9">
        <v>426</v>
      </c>
      <c r="B76" s="26">
        <v>10</v>
      </c>
      <c r="C76" s="12" t="s">
        <v>130</v>
      </c>
      <c r="D76" s="20" t="s">
        <v>132</v>
      </c>
      <c r="E76" s="20" t="s">
        <v>133</v>
      </c>
      <c r="F76" s="20">
        <v>650</v>
      </c>
    </row>
    <row r="77" spans="1:6" x14ac:dyDescent="0.25">
      <c r="A77" s="10" t="s">
        <v>131</v>
      </c>
      <c r="B77" s="26"/>
      <c r="C77" s="12"/>
      <c r="D77" s="20"/>
      <c r="E77" s="20"/>
      <c r="F77" s="20"/>
    </row>
    <row r="78" spans="1:6" x14ac:dyDescent="0.25">
      <c r="A78" s="11"/>
      <c r="B78" s="26"/>
      <c r="C78" s="12" t="s">
        <v>130</v>
      </c>
      <c r="D78" s="20"/>
      <c r="E78" s="20"/>
      <c r="F78" s="20"/>
    </row>
    <row r="79" spans="1:6" x14ac:dyDescent="0.25">
      <c r="A79" s="11"/>
      <c r="B79" s="26"/>
      <c r="C79" s="12"/>
      <c r="D79" s="20"/>
      <c r="E79" s="20"/>
      <c r="F79" s="20"/>
    </row>
    <row r="80" spans="1:6" x14ac:dyDescent="0.25">
      <c r="A80" s="11"/>
      <c r="B80" s="26"/>
      <c r="C80" s="12" t="s">
        <v>130</v>
      </c>
      <c r="D80" s="20"/>
      <c r="E80" s="20"/>
      <c r="F80" s="20"/>
    </row>
    <row r="81" spans="1:6" ht="37.5" x14ac:dyDescent="0.25">
      <c r="A81" s="22" t="s">
        <v>17</v>
      </c>
    </row>
    <row r="82" spans="1:6" ht="15.75" thickBot="1" x14ac:dyDescent="0.3">
      <c r="A82" s="3" t="s">
        <v>128</v>
      </c>
      <c r="B82" s="4"/>
      <c r="C82" s="4" t="s">
        <v>8</v>
      </c>
      <c r="D82" s="4" t="s">
        <v>9</v>
      </c>
      <c r="E82" s="4" t="s">
        <v>10</v>
      </c>
      <c r="F82" s="4" t="s">
        <v>11</v>
      </c>
    </row>
    <row r="83" spans="1:6" x14ac:dyDescent="0.25">
      <c r="A83" s="5">
        <v>417</v>
      </c>
      <c r="B83" s="14">
        <v>6</v>
      </c>
      <c r="C83" s="8">
        <f>-3.5-115</f>
        <v>-118.5</v>
      </c>
      <c r="D83" s="18">
        <f>-3.5-115</f>
        <v>-118.5</v>
      </c>
      <c r="E83" s="18" t="s">
        <v>135</v>
      </c>
      <c r="F83" s="18">
        <v>-205</v>
      </c>
    </row>
    <row r="84" spans="1:6" x14ac:dyDescent="0.25">
      <c r="A84" s="6" t="s">
        <v>134</v>
      </c>
      <c r="B84" s="13"/>
      <c r="C84" s="8"/>
      <c r="D84" s="17"/>
      <c r="E84" s="17"/>
      <c r="F84" s="17"/>
    </row>
    <row r="85" spans="1:6" x14ac:dyDescent="0.25">
      <c r="A85" s="7"/>
      <c r="B85" s="13"/>
      <c r="C85" s="8">
        <f>-3.5-115</f>
        <v>-118.5</v>
      </c>
      <c r="D85" s="17"/>
      <c r="E85" s="17"/>
      <c r="F85" s="17"/>
    </row>
    <row r="86" spans="1:6" x14ac:dyDescent="0.25">
      <c r="A86" s="7"/>
      <c r="B86" s="13"/>
      <c r="C86" s="8"/>
      <c r="D86" s="17"/>
      <c r="E86" s="17"/>
      <c r="F86" s="17"/>
    </row>
    <row r="87" spans="1:6" x14ac:dyDescent="0.25">
      <c r="A87" s="7"/>
      <c r="B87" s="13"/>
      <c r="C87" s="8">
        <f>-3.5-115</f>
        <v>-118.5</v>
      </c>
      <c r="D87" s="17"/>
      <c r="E87" s="17"/>
      <c r="F87" s="17"/>
    </row>
    <row r="88" spans="1:6" x14ac:dyDescent="0.25">
      <c r="A88" s="9">
        <v>418</v>
      </c>
      <c r="B88" s="19">
        <v>13</v>
      </c>
      <c r="C88" s="12" t="s">
        <v>137</v>
      </c>
      <c r="D88" s="21">
        <f>3.5-105</f>
        <v>-101.5</v>
      </c>
      <c r="E88" s="21" t="s">
        <v>137</v>
      </c>
      <c r="F88" s="21">
        <v>170</v>
      </c>
    </row>
    <row r="89" spans="1:6" x14ac:dyDescent="0.25">
      <c r="A89" s="10" t="s">
        <v>136</v>
      </c>
      <c r="B89" s="19"/>
      <c r="C89" s="12"/>
      <c r="D89" s="21"/>
      <c r="E89" s="21"/>
      <c r="F89" s="21"/>
    </row>
    <row r="90" spans="1:6" x14ac:dyDescent="0.25">
      <c r="A90" s="11"/>
      <c r="B90" s="19"/>
      <c r="C90" s="12" t="s">
        <v>138</v>
      </c>
      <c r="D90" s="21"/>
      <c r="E90" s="21"/>
      <c r="F90" s="21"/>
    </row>
    <row r="91" spans="1:6" x14ac:dyDescent="0.25">
      <c r="A91" s="11"/>
      <c r="B91" s="19"/>
      <c r="C91" s="12"/>
      <c r="D91" s="21"/>
      <c r="E91" s="21"/>
      <c r="F91" s="21"/>
    </row>
    <row r="92" spans="1:6" x14ac:dyDescent="0.25">
      <c r="A92" s="11"/>
      <c r="B92" s="19"/>
      <c r="C92" s="12" t="s">
        <v>139</v>
      </c>
      <c r="D92" s="21"/>
      <c r="E92" s="21"/>
      <c r="F92" s="21"/>
    </row>
    <row r="93" spans="1:6" ht="37.5" x14ac:dyDescent="0.25">
      <c r="A93" s="22" t="s">
        <v>17</v>
      </c>
    </row>
    <row r="94" spans="1:6" ht="15.75" thickBot="1" x14ac:dyDescent="0.3">
      <c r="A94" s="3" t="s">
        <v>128</v>
      </c>
      <c r="B94" s="4"/>
      <c r="C94" s="4" t="s">
        <v>8</v>
      </c>
      <c r="D94" s="4" t="s">
        <v>9</v>
      </c>
      <c r="E94" s="4" t="s">
        <v>10</v>
      </c>
      <c r="F94" s="4" t="s">
        <v>11</v>
      </c>
    </row>
    <row r="95" spans="1:6" x14ac:dyDescent="0.25">
      <c r="A95" s="5">
        <v>423</v>
      </c>
      <c r="B95" s="25">
        <v>23</v>
      </c>
      <c r="C95" s="8">
        <f>-4.5-108</f>
        <v>-112.5</v>
      </c>
      <c r="D95" s="16">
        <f>-4.5-108</f>
        <v>-112.5</v>
      </c>
      <c r="E95" s="18" t="s">
        <v>65</v>
      </c>
      <c r="F95" s="16">
        <v>-230</v>
      </c>
    </row>
    <row r="96" spans="1:6" x14ac:dyDescent="0.25">
      <c r="A96" s="6" t="s">
        <v>140</v>
      </c>
      <c r="B96" s="24"/>
      <c r="C96" s="8"/>
      <c r="D96" s="15"/>
      <c r="E96" s="17"/>
      <c r="F96" s="15"/>
    </row>
    <row r="97" spans="1:6" x14ac:dyDescent="0.25">
      <c r="A97" s="7"/>
      <c r="B97" s="24"/>
      <c r="C97" s="8">
        <f>-3.5-115</f>
        <v>-118.5</v>
      </c>
      <c r="D97" s="15"/>
      <c r="E97" s="17"/>
      <c r="F97" s="15"/>
    </row>
    <row r="98" spans="1:6" x14ac:dyDescent="0.25">
      <c r="A98" s="7"/>
      <c r="B98" s="24"/>
      <c r="C98" s="8"/>
      <c r="D98" s="15"/>
      <c r="E98" s="17"/>
      <c r="F98" s="15"/>
    </row>
    <row r="99" spans="1:6" x14ac:dyDescent="0.25">
      <c r="A99" s="7"/>
      <c r="B99" s="24"/>
      <c r="C99" s="8">
        <f>-4.5-105</f>
        <v>-109.5</v>
      </c>
      <c r="D99" s="15"/>
      <c r="E99" s="17"/>
      <c r="F99" s="15"/>
    </row>
    <row r="100" spans="1:6" x14ac:dyDescent="0.25">
      <c r="A100" s="9">
        <v>424</v>
      </c>
      <c r="B100" s="26">
        <v>17</v>
      </c>
      <c r="C100" s="12" t="s">
        <v>142</v>
      </c>
      <c r="D100" s="20">
        <f>4.5-112</f>
        <v>-107.5</v>
      </c>
      <c r="E100" s="21" t="s">
        <v>142</v>
      </c>
      <c r="F100" s="20">
        <v>190</v>
      </c>
    </row>
    <row r="101" spans="1:6" x14ac:dyDescent="0.25">
      <c r="A101" s="10" t="s">
        <v>141</v>
      </c>
      <c r="B101" s="26"/>
      <c r="C101" s="12"/>
      <c r="D101" s="20"/>
      <c r="E101" s="21"/>
      <c r="F101" s="20"/>
    </row>
    <row r="102" spans="1:6" x14ac:dyDescent="0.25">
      <c r="A102" s="11"/>
      <c r="B102" s="26"/>
      <c r="C102" s="12" t="s">
        <v>142</v>
      </c>
      <c r="D102" s="20"/>
      <c r="E102" s="21"/>
      <c r="F102" s="20"/>
    </row>
    <row r="103" spans="1:6" x14ac:dyDescent="0.25">
      <c r="A103" s="11"/>
      <c r="B103" s="26"/>
      <c r="C103" s="12"/>
      <c r="D103" s="20"/>
      <c r="E103" s="21"/>
      <c r="F103" s="20"/>
    </row>
    <row r="104" spans="1:6" x14ac:dyDescent="0.25">
      <c r="A104" s="11"/>
      <c r="B104" s="26"/>
      <c r="C104" s="12" t="s">
        <v>142</v>
      </c>
      <c r="D104" s="20"/>
      <c r="E104" s="21"/>
      <c r="F104" s="20"/>
    </row>
    <row r="105" spans="1:6" ht="37.5" x14ac:dyDescent="0.25">
      <c r="A105" s="22" t="s">
        <v>17</v>
      </c>
    </row>
    <row r="106" spans="1:6" ht="15.75" thickBot="1" x14ac:dyDescent="0.3">
      <c r="A106" s="3" t="s">
        <v>128</v>
      </c>
      <c r="B106" s="4"/>
      <c r="C106" s="4" t="s">
        <v>8</v>
      </c>
      <c r="D106" s="4" t="s">
        <v>9</v>
      </c>
      <c r="E106" s="4" t="s">
        <v>10</v>
      </c>
      <c r="F106" s="4" t="s">
        <v>11</v>
      </c>
    </row>
    <row r="107" spans="1:6" x14ac:dyDescent="0.25">
      <c r="A107" s="5">
        <v>407</v>
      </c>
      <c r="B107" s="14">
        <v>14</v>
      </c>
      <c r="C107" s="8" t="s">
        <v>144</v>
      </c>
      <c r="D107" s="18">
        <f>7-110</f>
        <v>-103</v>
      </c>
      <c r="E107" s="18" t="s">
        <v>146</v>
      </c>
      <c r="F107" s="18">
        <v>275</v>
      </c>
    </row>
    <row r="108" spans="1:6" x14ac:dyDescent="0.25">
      <c r="A108" s="6" t="s">
        <v>143</v>
      </c>
      <c r="B108" s="13"/>
      <c r="C108" s="8"/>
      <c r="D108" s="17"/>
      <c r="E108" s="17"/>
      <c r="F108" s="17"/>
    </row>
    <row r="109" spans="1:6" x14ac:dyDescent="0.25">
      <c r="A109" s="7"/>
      <c r="B109" s="13"/>
      <c r="C109" s="8" t="s">
        <v>145</v>
      </c>
      <c r="D109" s="17"/>
      <c r="E109" s="17"/>
      <c r="F109" s="17"/>
    </row>
    <row r="110" spans="1:6" x14ac:dyDescent="0.25">
      <c r="A110" s="7"/>
      <c r="B110" s="13"/>
      <c r="C110" s="8"/>
      <c r="D110" s="17"/>
      <c r="E110" s="17"/>
      <c r="F110" s="17"/>
    </row>
    <row r="111" spans="1:6" x14ac:dyDescent="0.25">
      <c r="A111" s="7"/>
      <c r="B111" s="13"/>
      <c r="C111" s="8" t="s">
        <v>144</v>
      </c>
      <c r="D111" s="17"/>
      <c r="E111" s="17"/>
      <c r="F111" s="17"/>
    </row>
    <row r="112" spans="1:6" x14ac:dyDescent="0.25">
      <c r="A112" s="9">
        <v>408</v>
      </c>
      <c r="B112" s="19">
        <v>37</v>
      </c>
      <c r="C112" s="12">
        <f>-7-110</f>
        <v>-117</v>
      </c>
      <c r="D112" s="21">
        <f>-7-110</f>
        <v>-117</v>
      </c>
      <c r="E112" s="21" t="s">
        <v>148</v>
      </c>
      <c r="F112" s="21">
        <v>-345</v>
      </c>
    </row>
    <row r="113" spans="1:6" x14ac:dyDescent="0.25">
      <c r="A113" s="10" t="s">
        <v>147</v>
      </c>
      <c r="B113" s="19"/>
      <c r="C113" s="12"/>
      <c r="D113" s="21"/>
      <c r="E113" s="21"/>
      <c r="F113" s="21"/>
    </row>
    <row r="114" spans="1:6" x14ac:dyDescent="0.25">
      <c r="A114" s="11"/>
      <c r="B114" s="19"/>
      <c r="C114" s="12">
        <f>-7-110</f>
        <v>-117</v>
      </c>
      <c r="D114" s="21"/>
      <c r="E114" s="21"/>
      <c r="F114" s="21"/>
    </row>
    <row r="115" spans="1:6" x14ac:dyDescent="0.25">
      <c r="A115" s="11"/>
      <c r="B115" s="19"/>
      <c r="C115" s="12"/>
      <c r="D115" s="21"/>
      <c r="E115" s="21"/>
      <c r="F115" s="21"/>
    </row>
    <row r="116" spans="1:6" x14ac:dyDescent="0.25">
      <c r="A116" s="11"/>
      <c r="B116" s="19"/>
      <c r="C116" s="12">
        <f>-7-110</f>
        <v>-117</v>
      </c>
      <c r="D116" s="21"/>
      <c r="E116" s="21"/>
      <c r="F116" s="21"/>
    </row>
    <row r="117" spans="1:6" ht="37.5" x14ac:dyDescent="0.25">
      <c r="A117" s="22" t="s">
        <v>17</v>
      </c>
    </row>
    <row r="118" spans="1:6" ht="15.75" thickBot="1" x14ac:dyDescent="0.3">
      <c r="A118" s="3" t="s">
        <v>128</v>
      </c>
      <c r="B118" s="4"/>
      <c r="C118" s="4" t="s">
        <v>8</v>
      </c>
      <c r="D118" s="4" t="s">
        <v>9</v>
      </c>
      <c r="E118" s="4" t="s">
        <v>10</v>
      </c>
      <c r="F118" s="4" t="s">
        <v>11</v>
      </c>
    </row>
    <row r="119" spans="1:6" x14ac:dyDescent="0.25">
      <c r="A119" s="5">
        <v>419</v>
      </c>
      <c r="B119" s="25">
        <v>34</v>
      </c>
      <c r="C119" s="8">
        <f>-1.5+102</f>
        <v>100.5</v>
      </c>
      <c r="D119" s="16">
        <f>-1.5+102</f>
        <v>100.5</v>
      </c>
      <c r="E119" s="16" t="s">
        <v>150</v>
      </c>
      <c r="F119" s="16">
        <v>-110</v>
      </c>
    </row>
    <row r="120" spans="1:6" x14ac:dyDescent="0.25">
      <c r="A120" s="6" t="s">
        <v>149</v>
      </c>
      <c r="B120" s="24"/>
      <c r="C120" s="8"/>
      <c r="D120" s="15"/>
      <c r="E120" s="15"/>
      <c r="F120" s="15"/>
    </row>
    <row r="121" spans="1:6" x14ac:dyDescent="0.25">
      <c r="A121" s="7"/>
      <c r="B121" s="24"/>
      <c r="C121" s="8">
        <f>1.5-125</f>
        <v>-123.5</v>
      </c>
      <c r="D121" s="15"/>
      <c r="E121" s="15"/>
      <c r="F121" s="15"/>
    </row>
    <row r="122" spans="1:6" x14ac:dyDescent="0.25">
      <c r="A122" s="7"/>
      <c r="B122" s="24"/>
      <c r="C122" s="8"/>
      <c r="D122" s="15"/>
      <c r="E122" s="15"/>
      <c r="F122" s="15"/>
    </row>
    <row r="123" spans="1:6" x14ac:dyDescent="0.25">
      <c r="A123" s="7"/>
      <c r="B123" s="24"/>
      <c r="C123" s="8">
        <f>-1.5-102</f>
        <v>-103.5</v>
      </c>
      <c r="D123" s="15"/>
      <c r="E123" s="15"/>
      <c r="F123" s="15"/>
    </row>
    <row r="124" spans="1:6" x14ac:dyDescent="0.25">
      <c r="A124" s="9">
        <v>420</v>
      </c>
      <c r="B124" s="26">
        <v>26</v>
      </c>
      <c r="C124" s="12" t="s">
        <v>152</v>
      </c>
      <c r="D124" s="20">
        <f>1.5-122</f>
        <v>-120.5</v>
      </c>
      <c r="E124" s="20" t="s">
        <v>152</v>
      </c>
      <c r="F124" s="20">
        <v>-110</v>
      </c>
    </row>
    <row r="125" spans="1:6" x14ac:dyDescent="0.25">
      <c r="A125" s="10" t="s">
        <v>151</v>
      </c>
      <c r="B125" s="26"/>
      <c r="C125" s="12"/>
      <c r="D125" s="20"/>
      <c r="E125" s="20"/>
      <c r="F125" s="20"/>
    </row>
    <row r="126" spans="1:6" x14ac:dyDescent="0.25">
      <c r="A126" s="11"/>
      <c r="B126" s="26"/>
      <c r="C126" s="12" t="s">
        <v>152</v>
      </c>
      <c r="D126" s="20"/>
      <c r="E126" s="20"/>
      <c r="F126" s="20"/>
    </row>
    <row r="127" spans="1:6" x14ac:dyDescent="0.25">
      <c r="A127" s="11"/>
      <c r="B127" s="26"/>
      <c r="C127" s="12"/>
      <c r="D127" s="20"/>
      <c r="E127" s="20"/>
      <c r="F127" s="20"/>
    </row>
    <row r="128" spans="1:6" x14ac:dyDescent="0.25">
      <c r="A128" s="11"/>
      <c r="B128" s="26"/>
      <c r="C128" s="12" t="s">
        <v>152</v>
      </c>
      <c r="D128" s="20"/>
      <c r="E128" s="20"/>
      <c r="F128" s="20"/>
    </row>
    <row r="129" spans="1:6" ht="37.5" x14ac:dyDescent="0.25">
      <c r="A129" s="22" t="s">
        <v>17</v>
      </c>
    </row>
    <row r="130" spans="1:6" ht="15.75" thickBot="1" x14ac:dyDescent="0.3">
      <c r="A130" s="3" t="s">
        <v>128</v>
      </c>
      <c r="B130" s="4"/>
      <c r="C130" s="4" t="s">
        <v>8</v>
      </c>
      <c r="D130" s="4" t="s">
        <v>9</v>
      </c>
      <c r="E130" s="4" t="s">
        <v>10</v>
      </c>
      <c r="F130" s="4" t="s">
        <v>11</v>
      </c>
    </row>
    <row r="131" spans="1:6" x14ac:dyDescent="0.25">
      <c r="A131" s="5">
        <v>413</v>
      </c>
      <c r="B131" s="25">
        <v>27</v>
      </c>
      <c r="C131" s="8">
        <f>-6.5-120</f>
        <v>-126.5</v>
      </c>
      <c r="D131" s="16">
        <f>-6.5-120</f>
        <v>-126.5</v>
      </c>
      <c r="E131" s="18" t="s">
        <v>13</v>
      </c>
      <c r="F131" s="16">
        <v>-305</v>
      </c>
    </row>
    <row r="132" spans="1:6" x14ac:dyDescent="0.25">
      <c r="A132" s="6" t="s">
        <v>153</v>
      </c>
      <c r="B132" s="24"/>
      <c r="C132" s="8"/>
      <c r="D132" s="15"/>
      <c r="E132" s="17"/>
      <c r="F132" s="15"/>
    </row>
    <row r="133" spans="1:6" x14ac:dyDescent="0.25">
      <c r="A133" s="7"/>
      <c r="B133" s="24"/>
      <c r="C133" s="8">
        <f>-6.5-115</f>
        <v>-121.5</v>
      </c>
      <c r="D133" s="15"/>
      <c r="E133" s="17"/>
      <c r="F133" s="15"/>
    </row>
    <row r="134" spans="1:6" x14ac:dyDescent="0.25">
      <c r="A134" s="7"/>
      <c r="B134" s="24"/>
      <c r="C134" s="8"/>
      <c r="D134" s="15"/>
      <c r="E134" s="17"/>
      <c r="F134" s="15"/>
    </row>
    <row r="135" spans="1:6" x14ac:dyDescent="0.25">
      <c r="A135" s="7"/>
      <c r="B135" s="24"/>
      <c r="C135" s="8">
        <f>-7-112</f>
        <v>-119</v>
      </c>
      <c r="D135" s="15"/>
      <c r="E135" s="17"/>
      <c r="F135" s="15"/>
    </row>
    <row r="136" spans="1:6" x14ac:dyDescent="0.25">
      <c r="A136" s="9">
        <v>414</v>
      </c>
      <c r="B136" s="26">
        <v>10</v>
      </c>
      <c r="C136" s="12" t="s">
        <v>155</v>
      </c>
      <c r="D136" s="20" t="s">
        <v>156</v>
      </c>
      <c r="E136" s="21" t="s">
        <v>16</v>
      </c>
      <c r="F136" s="20">
        <v>245</v>
      </c>
    </row>
    <row r="137" spans="1:6" x14ac:dyDescent="0.25">
      <c r="A137" s="10" t="s">
        <v>154</v>
      </c>
      <c r="B137" s="26"/>
      <c r="C137" s="12"/>
      <c r="D137" s="20"/>
      <c r="E137" s="21"/>
      <c r="F137" s="20"/>
    </row>
    <row r="138" spans="1:6" x14ac:dyDescent="0.25">
      <c r="A138" s="11"/>
      <c r="B138" s="26"/>
      <c r="C138" s="12" t="s">
        <v>155</v>
      </c>
      <c r="D138" s="20"/>
      <c r="E138" s="21"/>
      <c r="F138" s="20"/>
    </row>
    <row r="139" spans="1:6" x14ac:dyDescent="0.25">
      <c r="A139" s="11"/>
      <c r="B139" s="26"/>
      <c r="C139" s="12"/>
      <c r="D139" s="20"/>
      <c r="E139" s="21"/>
      <c r="F139" s="20"/>
    </row>
    <row r="140" spans="1:6" x14ac:dyDescent="0.25">
      <c r="A140" s="11"/>
      <c r="B140" s="26"/>
      <c r="C140" s="12" t="s">
        <v>155</v>
      </c>
      <c r="D140" s="20"/>
      <c r="E140" s="21"/>
      <c r="F140" s="20"/>
    </row>
    <row r="141" spans="1:6" ht="37.5" x14ac:dyDescent="0.25">
      <c r="A141" s="22" t="s">
        <v>17</v>
      </c>
    </row>
    <row r="142" spans="1:6" ht="15.75" thickBot="1" x14ac:dyDescent="0.3">
      <c r="A142" s="3" t="s">
        <v>128</v>
      </c>
      <c r="B142" s="4"/>
      <c r="C142" s="4" t="s">
        <v>8</v>
      </c>
      <c r="D142" s="4" t="s">
        <v>9</v>
      </c>
      <c r="E142" s="4" t="s">
        <v>10</v>
      </c>
      <c r="F142" s="4" t="s">
        <v>11</v>
      </c>
    </row>
    <row r="143" spans="1:6" x14ac:dyDescent="0.25">
      <c r="A143" s="5">
        <v>421</v>
      </c>
      <c r="B143" s="14">
        <v>17</v>
      </c>
      <c r="C143" s="8">
        <f>-5.5-118</f>
        <v>-123.5</v>
      </c>
      <c r="D143" s="18">
        <f>-5.5-118</f>
        <v>-123.5</v>
      </c>
      <c r="E143" s="18" t="s">
        <v>89</v>
      </c>
      <c r="F143" s="18">
        <v>-258</v>
      </c>
    </row>
    <row r="144" spans="1:6" x14ac:dyDescent="0.25">
      <c r="A144" s="6" t="s">
        <v>157</v>
      </c>
      <c r="B144" s="13"/>
      <c r="C144" s="8"/>
      <c r="D144" s="17"/>
      <c r="E144" s="17"/>
      <c r="F144" s="17"/>
    </row>
    <row r="145" spans="1:6" x14ac:dyDescent="0.25">
      <c r="A145" s="7"/>
      <c r="B145" s="13"/>
      <c r="C145" s="8">
        <f>-5.5-110</f>
        <v>-115.5</v>
      </c>
      <c r="D145" s="17"/>
      <c r="E145" s="17"/>
      <c r="F145" s="17"/>
    </row>
    <row r="146" spans="1:6" x14ac:dyDescent="0.25">
      <c r="A146" s="7"/>
      <c r="B146" s="13"/>
      <c r="C146" s="8"/>
      <c r="D146" s="17"/>
      <c r="E146" s="17"/>
      <c r="F146" s="17"/>
    </row>
    <row r="147" spans="1:6" x14ac:dyDescent="0.25">
      <c r="A147" s="7"/>
      <c r="B147" s="13"/>
      <c r="C147" s="8">
        <f>-5.5-110</f>
        <v>-115.5</v>
      </c>
      <c r="D147" s="17"/>
      <c r="E147" s="17"/>
      <c r="F147" s="17"/>
    </row>
    <row r="148" spans="1:6" x14ac:dyDescent="0.25">
      <c r="A148" s="9">
        <v>422</v>
      </c>
      <c r="B148" s="19">
        <v>20</v>
      </c>
      <c r="C148" s="12" t="s">
        <v>89</v>
      </c>
      <c r="D148" s="21">
        <f>5.5-102</f>
        <v>-96.5</v>
      </c>
      <c r="E148" s="21" t="s">
        <v>87</v>
      </c>
      <c r="F148" s="21">
        <v>215</v>
      </c>
    </row>
    <row r="149" spans="1:6" x14ac:dyDescent="0.25">
      <c r="A149" s="10" t="s">
        <v>158</v>
      </c>
      <c r="B149" s="19"/>
      <c r="C149" s="12"/>
      <c r="D149" s="21"/>
      <c r="E149" s="21"/>
      <c r="F149" s="21"/>
    </row>
    <row r="150" spans="1:6" x14ac:dyDescent="0.25">
      <c r="A150" s="11"/>
      <c r="B150" s="19"/>
      <c r="C150" s="12" t="s">
        <v>89</v>
      </c>
      <c r="D150" s="21"/>
      <c r="E150" s="21"/>
      <c r="F150" s="21"/>
    </row>
    <row r="151" spans="1:6" x14ac:dyDescent="0.25">
      <c r="A151" s="11"/>
      <c r="B151" s="19"/>
      <c r="C151" s="12"/>
      <c r="D151" s="21"/>
      <c r="E151" s="21"/>
      <c r="F151" s="21"/>
    </row>
    <row r="152" spans="1:6" x14ac:dyDescent="0.25">
      <c r="A152" s="11"/>
      <c r="B152" s="19"/>
      <c r="C152" s="12" t="s">
        <v>159</v>
      </c>
      <c r="D152" s="21"/>
      <c r="E152" s="21"/>
      <c r="F152" s="21"/>
    </row>
    <row r="153" spans="1:6" ht="37.5" x14ac:dyDescent="0.25">
      <c r="A153" s="22" t="s">
        <v>17</v>
      </c>
    </row>
    <row r="154" spans="1:6" ht="15.75" thickBot="1" x14ac:dyDescent="0.3">
      <c r="A154" s="3" t="s">
        <v>160</v>
      </c>
      <c r="B154" s="4"/>
      <c r="C154" s="4" t="s">
        <v>8</v>
      </c>
      <c r="D154" s="4" t="s">
        <v>9</v>
      </c>
      <c r="E154" s="4" t="s">
        <v>10</v>
      </c>
      <c r="F154" s="4" t="s">
        <v>11</v>
      </c>
    </row>
    <row r="155" spans="1:6" x14ac:dyDescent="0.25">
      <c r="A155" s="5">
        <v>415</v>
      </c>
      <c r="B155" s="25">
        <v>34</v>
      </c>
      <c r="C155" s="8">
        <f>-3-102</f>
        <v>-105</v>
      </c>
      <c r="D155" s="16">
        <f>-3-102</f>
        <v>-105</v>
      </c>
      <c r="E155" s="16" t="s">
        <v>162</v>
      </c>
      <c r="F155" s="16">
        <v>-166</v>
      </c>
    </row>
    <row r="156" spans="1:6" x14ac:dyDescent="0.25">
      <c r="A156" s="6" t="s">
        <v>161</v>
      </c>
      <c r="B156" s="24"/>
      <c r="C156" s="8"/>
      <c r="D156" s="15"/>
      <c r="E156" s="15"/>
      <c r="F156" s="15"/>
    </row>
    <row r="157" spans="1:6" x14ac:dyDescent="0.25">
      <c r="A157" s="7"/>
      <c r="B157" s="24"/>
      <c r="C157" s="8">
        <f>-3-102</f>
        <v>-105</v>
      </c>
      <c r="D157" s="15"/>
      <c r="E157" s="15"/>
      <c r="F157" s="15"/>
    </row>
    <row r="158" spans="1:6" x14ac:dyDescent="0.25">
      <c r="A158" s="7"/>
      <c r="B158" s="24"/>
      <c r="C158" s="8"/>
      <c r="D158" s="15"/>
      <c r="E158" s="15"/>
      <c r="F158" s="15"/>
    </row>
    <row r="159" spans="1:6" x14ac:dyDescent="0.25">
      <c r="A159" s="7"/>
      <c r="B159" s="24"/>
      <c r="C159" s="8">
        <f>-3-102</f>
        <v>-105</v>
      </c>
      <c r="D159" s="15"/>
      <c r="E159" s="15"/>
      <c r="F159" s="15"/>
    </row>
    <row r="160" spans="1:6" x14ac:dyDescent="0.25">
      <c r="A160" s="9">
        <v>416</v>
      </c>
      <c r="B160" s="26">
        <v>10</v>
      </c>
      <c r="C160" s="12" t="s">
        <v>162</v>
      </c>
      <c r="D160" s="20">
        <f>3-118</f>
        <v>-115</v>
      </c>
      <c r="E160" s="20" t="s">
        <v>120</v>
      </c>
      <c r="F160" s="20">
        <v>140</v>
      </c>
    </row>
    <row r="161" spans="1:6" x14ac:dyDescent="0.25">
      <c r="A161" s="10" t="s">
        <v>163</v>
      </c>
      <c r="B161" s="26"/>
      <c r="C161" s="12"/>
      <c r="D161" s="20"/>
      <c r="E161" s="20"/>
      <c r="F161" s="20"/>
    </row>
    <row r="162" spans="1:6" x14ac:dyDescent="0.25">
      <c r="A162" s="11"/>
      <c r="B162" s="26"/>
      <c r="C162" s="12" t="s">
        <v>164</v>
      </c>
      <c r="D162" s="20"/>
      <c r="E162" s="20"/>
      <c r="F162" s="20"/>
    </row>
    <row r="163" spans="1:6" x14ac:dyDescent="0.25">
      <c r="A163" s="11"/>
      <c r="B163" s="26"/>
      <c r="C163" s="12"/>
      <c r="D163" s="20"/>
      <c r="E163" s="20"/>
      <c r="F163" s="20"/>
    </row>
    <row r="164" spans="1:6" x14ac:dyDescent="0.25">
      <c r="A164" s="11"/>
      <c r="B164" s="26"/>
      <c r="C164" s="12" t="s">
        <v>122</v>
      </c>
      <c r="D164" s="20"/>
      <c r="E164" s="20"/>
      <c r="F164" s="20"/>
    </row>
    <row r="165" spans="1:6" ht="37.5" x14ac:dyDescent="0.25">
      <c r="A165" s="22" t="s">
        <v>17</v>
      </c>
    </row>
    <row r="166" spans="1:6" ht="15.75" thickBot="1" x14ac:dyDescent="0.3">
      <c r="A166" s="3" t="s">
        <v>165</v>
      </c>
      <c r="B166" s="4"/>
      <c r="C166" s="4" t="s">
        <v>8</v>
      </c>
      <c r="D166" s="4" t="s">
        <v>9</v>
      </c>
      <c r="E166" s="4" t="s">
        <v>10</v>
      </c>
      <c r="F166" s="4" t="s">
        <v>11</v>
      </c>
    </row>
    <row r="167" spans="1:6" x14ac:dyDescent="0.25">
      <c r="A167" s="5">
        <v>427</v>
      </c>
      <c r="B167" s="25">
        <v>13</v>
      </c>
      <c r="C167" s="8" t="s">
        <v>109</v>
      </c>
      <c r="D167" s="16">
        <f>3.5-118</f>
        <v>-114.5</v>
      </c>
      <c r="E167" s="18" t="s">
        <v>106</v>
      </c>
      <c r="F167" s="16">
        <v>142</v>
      </c>
    </row>
    <row r="168" spans="1:6" x14ac:dyDescent="0.25">
      <c r="A168" s="6" t="s">
        <v>166</v>
      </c>
      <c r="B168" s="24"/>
      <c r="C168" s="8"/>
      <c r="D168" s="15"/>
      <c r="E168" s="17"/>
      <c r="F168" s="15"/>
    </row>
    <row r="169" spans="1:6" x14ac:dyDescent="0.25">
      <c r="A169" s="7"/>
      <c r="B169" s="24"/>
      <c r="C169" s="8" t="s">
        <v>109</v>
      </c>
      <c r="D169" s="15"/>
      <c r="E169" s="17"/>
      <c r="F169" s="15"/>
    </row>
    <row r="170" spans="1:6" x14ac:dyDescent="0.25">
      <c r="A170" s="7"/>
      <c r="B170" s="24"/>
      <c r="C170" s="8"/>
      <c r="D170" s="15"/>
      <c r="E170" s="17"/>
      <c r="F170" s="15"/>
    </row>
    <row r="171" spans="1:6" x14ac:dyDescent="0.25">
      <c r="A171" s="7"/>
      <c r="B171" s="24"/>
      <c r="C171" s="8" t="s">
        <v>167</v>
      </c>
      <c r="D171" s="15"/>
      <c r="E171" s="17"/>
      <c r="F171" s="15"/>
    </row>
    <row r="172" spans="1:6" x14ac:dyDescent="0.25">
      <c r="A172" s="9">
        <v>428</v>
      </c>
      <c r="B172" s="26">
        <v>12</v>
      </c>
      <c r="C172" s="12">
        <f>-3-118</f>
        <v>-121</v>
      </c>
      <c r="D172" s="20">
        <f>-3.5-102</f>
        <v>-105.5</v>
      </c>
      <c r="E172" s="21" t="s">
        <v>109</v>
      </c>
      <c r="F172" s="20">
        <v>-170</v>
      </c>
    </row>
    <row r="173" spans="1:6" x14ac:dyDescent="0.25">
      <c r="A173" s="10" t="s">
        <v>168</v>
      </c>
      <c r="B173" s="26"/>
      <c r="C173" s="12"/>
      <c r="D173" s="20"/>
      <c r="E173" s="21"/>
      <c r="F173" s="20"/>
    </row>
    <row r="174" spans="1:6" x14ac:dyDescent="0.25">
      <c r="A174" s="11"/>
      <c r="B174" s="26"/>
      <c r="C174" s="12">
        <f>-3-112</f>
        <v>-115</v>
      </c>
      <c r="D174" s="20"/>
      <c r="E174" s="21"/>
      <c r="F174" s="20"/>
    </row>
    <row r="175" spans="1:6" x14ac:dyDescent="0.25">
      <c r="A175" s="11"/>
      <c r="B175" s="26"/>
      <c r="C175" s="12"/>
      <c r="D175" s="20"/>
      <c r="E175" s="21"/>
      <c r="F175" s="20"/>
    </row>
    <row r="176" spans="1:6" x14ac:dyDescent="0.25">
      <c r="A176" s="11"/>
      <c r="B176" s="26"/>
      <c r="C176" s="12">
        <f>-3-112</f>
        <v>-115</v>
      </c>
      <c r="D176" s="20"/>
      <c r="E176" s="21"/>
      <c r="F176" s="20"/>
    </row>
    <row r="177" spans="1:6" ht="37.5" x14ac:dyDescent="0.25">
      <c r="A177" s="22" t="s">
        <v>17</v>
      </c>
    </row>
    <row r="178" spans="1:6" ht="15.75" thickBot="1" x14ac:dyDescent="0.3">
      <c r="A178" s="3" t="s">
        <v>169</v>
      </c>
      <c r="B178" s="4"/>
      <c r="C178" s="4" t="s">
        <v>8</v>
      </c>
      <c r="D178" s="4" t="s">
        <v>9</v>
      </c>
      <c r="E178" s="4" t="s">
        <v>10</v>
      </c>
      <c r="F178" s="4" t="s">
        <v>11</v>
      </c>
    </row>
    <row r="179" spans="1:6" x14ac:dyDescent="0.25">
      <c r="A179" s="5">
        <v>429</v>
      </c>
      <c r="B179" s="14">
        <v>38</v>
      </c>
      <c r="C179" s="8" t="s">
        <v>171</v>
      </c>
      <c r="D179" s="16">
        <f>4.5-115</f>
        <v>-110.5</v>
      </c>
      <c r="E179" s="16" t="s">
        <v>172</v>
      </c>
      <c r="F179" s="18">
        <v>185</v>
      </c>
    </row>
    <row r="180" spans="1:6" x14ac:dyDescent="0.25">
      <c r="A180" s="6" t="s">
        <v>170</v>
      </c>
      <c r="B180" s="13"/>
      <c r="C180" s="8"/>
      <c r="D180" s="15"/>
      <c r="E180" s="15"/>
      <c r="F180" s="17"/>
    </row>
    <row r="181" spans="1:6" x14ac:dyDescent="0.25">
      <c r="A181" s="7"/>
      <c r="B181" s="13"/>
      <c r="C181" s="8" t="s">
        <v>171</v>
      </c>
      <c r="D181" s="15"/>
      <c r="E181" s="15"/>
      <c r="F181" s="17"/>
    </row>
    <row r="182" spans="1:6" x14ac:dyDescent="0.25">
      <c r="A182" s="7"/>
      <c r="B182" s="13"/>
      <c r="C182" s="8"/>
      <c r="D182" s="15"/>
      <c r="E182" s="15"/>
      <c r="F182" s="17"/>
    </row>
    <row r="183" spans="1:6" x14ac:dyDescent="0.25">
      <c r="A183" s="7"/>
      <c r="B183" s="13"/>
      <c r="C183" s="8" t="s">
        <v>171</v>
      </c>
      <c r="D183" s="15"/>
      <c r="E183" s="15"/>
      <c r="F183" s="17"/>
    </row>
    <row r="184" spans="1:6" x14ac:dyDescent="0.25">
      <c r="A184" s="9">
        <v>430</v>
      </c>
      <c r="B184" s="19">
        <v>42</v>
      </c>
      <c r="C184" s="12">
        <f>-4.5-105</f>
        <v>-109.5</v>
      </c>
      <c r="D184" s="20">
        <f>-4.5-105</f>
        <v>-109.5</v>
      </c>
      <c r="E184" s="20" t="s">
        <v>171</v>
      </c>
      <c r="F184" s="21">
        <v>-225</v>
      </c>
    </row>
    <row r="185" spans="1:6" x14ac:dyDescent="0.25">
      <c r="A185" s="10" t="s">
        <v>173</v>
      </c>
      <c r="B185" s="19"/>
      <c r="C185" s="12"/>
      <c r="D185" s="20"/>
      <c r="E185" s="20"/>
      <c r="F185" s="21"/>
    </row>
    <row r="186" spans="1:6" x14ac:dyDescent="0.25">
      <c r="A186" s="11"/>
      <c r="B186" s="19"/>
      <c r="C186" s="12">
        <f>-3.5-120</f>
        <v>-123.5</v>
      </c>
      <c r="D186" s="20"/>
      <c r="E186" s="20"/>
      <c r="F186" s="21"/>
    </row>
    <row r="187" spans="1:6" x14ac:dyDescent="0.25">
      <c r="A187" s="11"/>
      <c r="B187" s="19"/>
      <c r="C187" s="12"/>
      <c r="D187" s="20"/>
      <c r="E187" s="20"/>
      <c r="F187" s="21"/>
    </row>
    <row r="188" spans="1:6" x14ac:dyDescent="0.25">
      <c r="A188" s="11"/>
      <c r="B188" s="19"/>
      <c r="C188" s="12">
        <f>-3.5-120</f>
        <v>-123.5</v>
      </c>
      <c r="D188" s="20"/>
      <c r="E188" s="20"/>
      <c r="F188" s="21"/>
    </row>
    <row r="189" spans="1:6" ht="38.25" thickBot="1" x14ac:dyDescent="0.3">
      <c r="A189" s="22" t="s">
        <v>17</v>
      </c>
    </row>
    <row r="190" spans="1:6" ht="56.25" x14ac:dyDescent="0.25">
      <c r="A190" s="27" t="s">
        <v>174</v>
      </c>
    </row>
    <row r="191" spans="1:6" ht="15.75" thickBot="1" x14ac:dyDescent="0.3">
      <c r="A191" s="3" t="s">
        <v>175</v>
      </c>
      <c r="B191" s="4"/>
      <c r="C191" s="4" t="s">
        <v>8</v>
      </c>
      <c r="D191" s="4" t="s">
        <v>9</v>
      </c>
      <c r="E191" s="4" t="s">
        <v>10</v>
      </c>
      <c r="F191" s="4" t="s">
        <v>11</v>
      </c>
    </row>
    <row r="192" spans="1:6" x14ac:dyDescent="0.25">
      <c r="A192" s="5">
        <v>431</v>
      </c>
      <c r="B192" s="14">
        <v>24</v>
      </c>
      <c r="C192" s="8">
        <f>-7.5-102</f>
        <v>-109.5</v>
      </c>
      <c r="D192" s="18">
        <f>-7.5-102</f>
        <v>-109.5</v>
      </c>
      <c r="E192" s="16" t="s">
        <v>177</v>
      </c>
      <c r="F192" s="18">
        <v>-395</v>
      </c>
    </row>
    <row r="193" spans="1:6" x14ac:dyDescent="0.25">
      <c r="A193" s="6" t="s">
        <v>176</v>
      </c>
      <c r="B193" s="13"/>
      <c r="C193" s="8"/>
      <c r="D193" s="17"/>
      <c r="E193" s="15"/>
      <c r="F193" s="17"/>
    </row>
    <row r="194" spans="1:6" x14ac:dyDescent="0.25">
      <c r="A194" s="7"/>
      <c r="B194" s="13"/>
      <c r="C194" s="8">
        <f>-7.5-105</f>
        <v>-112.5</v>
      </c>
      <c r="D194" s="17"/>
      <c r="E194" s="15"/>
      <c r="F194" s="17"/>
    </row>
    <row r="195" spans="1:6" x14ac:dyDescent="0.25">
      <c r="A195" s="7"/>
      <c r="B195" s="13"/>
      <c r="C195" s="8"/>
      <c r="D195" s="17"/>
      <c r="E195" s="15"/>
      <c r="F195" s="17"/>
    </row>
    <row r="196" spans="1:6" x14ac:dyDescent="0.25">
      <c r="A196" s="7"/>
      <c r="B196" s="13"/>
      <c r="C196" s="8">
        <f>-7-118</f>
        <v>-125</v>
      </c>
      <c r="D196" s="17"/>
      <c r="E196" s="15"/>
      <c r="F196" s="17"/>
    </row>
    <row r="197" spans="1:6" x14ac:dyDescent="0.25">
      <c r="A197" s="9">
        <v>432</v>
      </c>
      <c r="B197" s="19">
        <v>27</v>
      </c>
      <c r="C197" s="12" t="s">
        <v>179</v>
      </c>
      <c r="D197" s="21">
        <f>7.5-118</f>
        <v>-110.5</v>
      </c>
      <c r="E197" s="20" t="s">
        <v>179</v>
      </c>
      <c r="F197" s="21">
        <v>295</v>
      </c>
    </row>
    <row r="198" spans="1:6" x14ac:dyDescent="0.25">
      <c r="A198" s="10" t="s">
        <v>178</v>
      </c>
      <c r="B198" s="19"/>
      <c r="C198" s="12"/>
      <c r="D198" s="21"/>
      <c r="E198" s="20"/>
      <c r="F198" s="21"/>
    </row>
    <row r="199" spans="1:6" x14ac:dyDescent="0.25">
      <c r="A199" s="11"/>
      <c r="B199" s="19"/>
      <c r="C199" s="12" t="s">
        <v>179</v>
      </c>
      <c r="D199" s="21"/>
      <c r="E199" s="20"/>
      <c r="F199" s="21"/>
    </row>
    <row r="200" spans="1:6" x14ac:dyDescent="0.25">
      <c r="A200" s="11"/>
      <c r="B200" s="19"/>
      <c r="C200" s="12"/>
      <c r="D200" s="21"/>
      <c r="E200" s="20"/>
      <c r="F200" s="21"/>
    </row>
    <row r="201" spans="1:6" x14ac:dyDescent="0.25">
      <c r="A201" s="11"/>
      <c r="B201" s="19"/>
      <c r="C201" s="12" t="s">
        <v>179</v>
      </c>
      <c r="D201" s="21"/>
      <c r="E201" s="20"/>
      <c r="F201" s="21"/>
    </row>
  </sheetData>
  <mergeCells count="128">
    <mergeCell ref="B192:B196"/>
    <mergeCell ref="D192:D196"/>
    <mergeCell ref="E192:E196"/>
    <mergeCell ref="F192:F196"/>
    <mergeCell ref="B197:B201"/>
    <mergeCell ref="D197:D201"/>
    <mergeCell ref="E197:E201"/>
    <mergeCell ref="F197:F201"/>
    <mergeCell ref="B179:B183"/>
    <mergeCell ref="D179:D183"/>
    <mergeCell ref="E179:E183"/>
    <mergeCell ref="F179:F183"/>
    <mergeCell ref="B184:B188"/>
    <mergeCell ref="D184:D188"/>
    <mergeCell ref="E184:E188"/>
    <mergeCell ref="F184:F188"/>
    <mergeCell ref="B167:B171"/>
    <mergeCell ref="D167:D171"/>
    <mergeCell ref="E167:E171"/>
    <mergeCell ref="F167:F171"/>
    <mergeCell ref="B172:B176"/>
    <mergeCell ref="D172:D176"/>
    <mergeCell ref="E172:E176"/>
    <mergeCell ref="F172:F176"/>
    <mergeCell ref="B155:B159"/>
    <mergeCell ref="D155:D159"/>
    <mergeCell ref="E155:E159"/>
    <mergeCell ref="F155:F159"/>
    <mergeCell ref="B160:B164"/>
    <mergeCell ref="D160:D164"/>
    <mergeCell ref="E160:E164"/>
    <mergeCell ref="F160:F164"/>
    <mergeCell ref="B143:B147"/>
    <mergeCell ref="D143:D147"/>
    <mergeCell ref="E143:E147"/>
    <mergeCell ref="F143:F147"/>
    <mergeCell ref="B148:B152"/>
    <mergeCell ref="D148:D152"/>
    <mergeCell ref="E148:E152"/>
    <mergeCell ref="F148:F152"/>
    <mergeCell ref="B131:B135"/>
    <mergeCell ref="D131:D135"/>
    <mergeCell ref="E131:E135"/>
    <mergeCell ref="F131:F135"/>
    <mergeCell ref="B136:B140"/>
    <mergeCell ref="D136:D140"/>
    <mergeCell ref="E136:E140"/>
    <mergeCell ref="F136:F140"/>
    <mergeCell ref="B119:B123"/>
    <mergeCell ref="D119:D123"/>
    <mergeCell ref="E119:E123"/>
    <mergeCell ref="F119:F123"/>
    <mergeCell ref="B124:B128"/>
    <mergeCell ref="D124:D128"/>
    <mergeCell ref="E124:E128"/>
    <mergeCell ref="F124:F128"/>
    <mergeCell ref="B107:B111"/>
    <mergeCell ref="D107:D111"/>
    <mergeCell ref="E107:E111"/>
    <mergeCell ref="F107:F111"/>
    <mergeCell ref="B112:B116"/>
    <mergeCell ref="D112:D116"/>
    <mergeCell ref="E112:E116"/>
    <mergeCell ref="F112:F116"/>
    <mergeCell ref="B95:B99"/>
    <mergeCell ref="D95:D99"/>
    <mergeCell ref="E95:E99"/>
    <mergeCell ref="F95:F99"/>
    <mergeCell ref="B100:B104"/>
    <mergeCell ref="D100:D104"/>
    <mergeCell ref="E100:E104"/>
    <mergeCell ref="F100:F104"/>
    <mergeCell ref="B83:B87"/>
    <mergeCell ref="D83:D87"/>
    <mergeCell ref="E83:E87"/>
    <mergeCell ref="F83:F87"/>
    <mergeCell ref="B88:B92"/>
    <mergeCell ref="D88:D92"/>
    <mergeCell ref="E88:E92"/>
    <mergeCell ref="F88:F92"/>
    <mergeCell ref="B71:B75"/>
    <mergeCell ref="D71:D75"/>
    <mergeCell ref="E71:E75"/>
    <mergeCell ref="F71:F75"/>
    <mergeCell ref="B76:B80"/>
    <mergeCell ref="D76:D80"/>
    <mergeCell ref="E76:E80"/>
    <mergeCell ref="F76:F80"/>
    <mergeCell ref="B59:B63"/>
    <mergeCell ref="D59:D63"/>
    <mergeCell ref="E59:E63"/>
    <mergeCell ref="F59:F63"/>
    <mergeCell ref="B64:B68"/>
    <mergeCell ref="D64:D68"/>
    <mergeCell ref="E64:E68"/>
    <mergeCell ref="F64:F68"/>
    <mergeCell ref="B47:B51"/>
    <mergeCell ref="D47:D51"/>
    <mergeCell ref="E47:E51"/>
    <mergeCell ref="F47:F51"/>
    <mergeCell ref="B52:B56"/>
    <mergeCell ref="D52:D56"/>
    <mergeCell ref="E52:E56"/>
    <mergeCell ref="F52:F56"/>
    <mergeCell ref="B34:B38"/>
    <mergeCell ref="D34:D38"/>
    <mergeCell ref="E34:E38"/>
    <mergeCell ref="F34:F38"/>
    <mergeCell ref="B39:B43"/>
    <mergeCell ref="D39:D43"/>
    <mergeCell ref="E39:E43"/>
    <mergeCell ref="F39:F43"/>
    <mergeCell ref="B22:B26"/>
    <mergeCell ref="D22:D26"/>
    <mergeCell ref="E22:E26"/>
    <mergeCell ref="F22:F26"/>
    <mergeCell ref="B27:B31"/>
    <mergeCell ref="D27:D31"/>
    <mergeCell ref="E27:E31"/>
    <mergeCell ref="F27:F31"/>
    <mergeCell ref="B9:B13"/>
    <mergeCell ref="D9:D13"/>
    <mergeCell ref="E9:E13"/>
    <mergeCell ref="F9:F13"/>
    <mergeCell ref="B14:B18"/>
    <mergeCell ref="D14:D18"/>
    <mergeCell ref="E14:E18"/>
    <mergeCell ref="F14:F18"/>
  </mergeCells>
  <hyperlinks>
    <hyperlink ref="A2" r:id="rId1" display="https://www.scoresandodds.com/nfl/odds" xr:uid="{00DC4785-308F-43B4-B9EC-EC1677A5ABBE}"/>
    <hyperlink ref="A3" r:id="rId2" display="https://www.scoresandodds.com/nfl/consensus-picks" xr:uid="{75DB891E-D4FE-4705-9C14-B6C8B1CADD75}"/>
    <hyperlink ref="A4" r:id="rId3" display="https://www.scoresandodds.com/nfl/more-lines" xr:uid="{604DFA9F-0570-4A35-8995-6DA149C121F3}"/>
    <hyperlink ref="A5" r:id="rId4" display="https://www.scoresandodds.com/nfl/props" xr:uid="{F34EDDD2-347B-41D8-8DD2-A75804170840}"/>
    <hyperlink ref="A6" r:id="rId5" display="https://www.scoresandodds.com/nfl/parlays" xr:uid="{6F87D036-88A3-4227-8DEC-2A902912E3BA}"/>
    <hyperlink ref="A7" r:id="rId6" display="https://www.scoresandodds.com/nfl/picks" xr:uid="{F885EA86-E8EF-4C5A-9855-506E0BB67D4B}"/>
    <hyperlink ref="A10" r:id="rId7" display="https://www.scoresandodds.com/nfl/teams/cowboys" xr:uid="{8424A206-67F8-492B-844A-B4B5F53D0D16}"/>
    <hyperlink ref="A15" r:id="rId8" display="https://www.scoresandodds.com/nfl/teams/commanders" xr:uid="{77C46616-9872-4BF9-833D-55B2D6AA8B00}"/>
    <hyperlink ref="A23" r:id="rId9" display="https://www.scoresandodds.com/nfl/teams/lions" xr:uid="{7EEDC442-C3E0-46AE-BF1A-D41118580874}"/>
    <hyperlink ref="A28" r:id="rId10" display="https://www.scoresandodds.com/nfl/teams/vikings" xr:uid="{279F61A2-8003-4C36-B1E7-FBDA32B3EC0C}"/>
    <hyperlink ref="A35" r:id="rId11" display="https://www.scoresandodds.com/nfl/teams/broncos" xr:uid="{CA865012-B753-4A95-B95C-E6AC2ABA47B6}"/>
    <hyperlink ref="A40" r:id="rId12" display="https://www.scoresandodds.com/nfl/teams/chiefs" xr:uid="{B48503B5-012E-4E10-838D-DB3F756AEE20}"/>
    <hyperlink ref="A48" r:id="rId13" display="https://www.scoresandodds.com/nfl/teams/texans" xr:uid="{E9E7009B-0D10-437B-8744-A30D2CD9A799}"/>
    <hyperlink ref="A53" r:id="rId14" display="https://www.scoresandodds.com/nfl/teams/chargers" xr:uid="{7C5B807F-B13A-4D79-A9CC-5D5E3F3FDD2C}"/>
    <hyperlink ref="A60" r:id="rId15" display="https://www.scoresandodds.com/nfl/teams/ravens" xr:uid="{77C5E4CD-3322-48BD-B951-49202BE3FA6D}"/>
    <hyperlink ref="A65" r:id="rId16" display="https://www.scoresandodds.com/nfl/teams/packers" xr:uid="{B7D4B881-BE5F-4D26-B17D-3C0BC266A36E}"/>
    <hyperlink ref="A72" r:id="rId17" display="https://www.scoresandodds.com/nfl/teams/patriots" xr:uid="{6009C213-FCFA-4E5C-A26E-AE0F177C058D}"/>
    <hyperlink ref="A77" r:id="rId18" display="https://www.scoresandodds.com/nfl/teams/jets" xr:uid="{D8912BD1-3E56-4B4C-B8B0-0AB927D120A6}"/>
    <hyperlink ref="A84" r:id="rId19" display="https://www.scoresandodds.com/nfl/teams/steelers" xr:uid="{CA411495-9BDB-4EA5-8BBF-1D56053D57A0}"/>
    <hyperlink ref="A89" r:id="rId20" display="https://www.scoresandodds.com/nfl/teams/browns" xr:uid="{EF6B74D2-9047-4E17-AEAF-F9C46E70A319}"/>
    <hyperlink ref="A96" r:id="rId21" display="https://www.scoresandodds.com/nfl/teams/jaguars" xr:uid="{72CBE358-2462-4DF5-8921-E08610A9A2D6}"/>
    <hyperlink ref="A101" r:id="rId22" display="https://www.scoresandodds.com/nfl/teams/colts" xr:uid="{CEC8ECCC-382D-44A9-A6FD-9F1292B2F98D}"/>
    <hyperlink ref="A108" r:id="rId23" display="https://www.scoresandodds.com/nfl/teams/cardinals" xr:uid="{C38E91C8-2503-46FE-89B5-1772EF239E02}"/>
    <hyperlink ref="A113" r:id="rId24" display="https://www.scoresandodds.com/nfl/teams/bengals" xr:uid="{46A4469E-13F7-4304-BBC2-EDB7FC4040D6}"/>
    <hyperlink ref="A120" r:id="rId25" display="https://www.scoresandodds.com/nfl/teams/saints" xr:uid="{05D41373-7A27-4270-8E32-506121967A01}"/>
    <hyperlink ref="A125" r:id="rId26" display="https://www.scoresandodds.com/nfl/teams/titans" xr:uid="{2F394925-FD78-4216-8BAB-F2F3205CB820}"/>
    <hyperlink ref="A132" r:id="rId27" display="https://www.scoresandodds.com/nfl/teams/seahawks" xr:uid="{2E494129-52E8-4E99-9CDD-0E34CDB88E96}"/>
    <hyperlink ref="A137" r:id="rId28" display="https://www.scoresandodds.com/nfl/teams/panthers" xr:uid="{A3E24C94-79CB-442F-B536-655AE8452BEF}"/>
    <hyperlink ref="A144" r:id="rId29" display="https://www.scoresandodds.com/nfl/teams/buccaneers" xr:uid="{833B0537-7F50-4C6A-9AD0-318219E49056}"/>
    <hyperlink ref="A149" r:id="rId30" display="https://www.scoresandodds.com/nfl/teams/dolphins" xr:uid="{982E5DCF-6044-4AD0-A303-9714AF4D72BA}"/>
    <hyperlink ref="A156" r:id="rId31" display="https://www.scoresandodds.com/nfl/teams/giants" xr:uid="{2CCB1F82-1AB6-44BD-A7D7-02939F96E824}"/>
    <hyperlink ref="A161" r:id="rId32" display="https://www.scoresandodds.com/nfl/teams/raiders" xr:uid="{B69EA03A-CB2A-4F3A-8E31-FF5907074660}"/>
    <hyperlink ref="A168" r:id="rId33" display="https://www.scoresandodds.com/nfl/teams/eagles" xr:uid="{1656A843-F40F-4B0F-805E-1A53BC18D2E6}"/>
    <hyperlink ref="A173" r:id="rId34" display="https://www.scoresandodds.com/nfl/teams/bills" xr:uid="{E16EC8EA-F65C-4634-8DC0-DB470CEDDB73}"/>
    <hyperlink ref="A180" r:id="rId35" display="https://www.scoresandodds.com/nfl/teams/bears" xr:uid="{EE4701B2-765F-4654-BC8A-0C978A69DD57}"/>
    <hyperlink ref="A185" r:id="rId36" display="https://www.scoresandodds.com/nfl/teams/49ers" xr:uid="{19E726DF-4F65-4FF7-B648-EBB43F071848}"/>
    <hyperlink ref="A193" r:id="rId37" display="https://www.scoresandodds.com/nfl/teams/rams" xr:uid="{ACC2E20E-D164-417A-8280-A0D821A187AC}"/>
    <hyperlink ref="A198" r:id="rId38" display="https://www.scoresandodds.com/nfl/teams/falcons" xr:uid="{0754D858-7DCC-4514-9219-C6BAACBA24C9}"/>
  </hyperlinks>
  <pageMargins left="0.7" right="0.7" top="0.75" bottom="0.75" header="0.3" footer="0.3"/>
  <drawing r:id="rId39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97903-E5BE-404B-8825-0ADACC96AF76}">
  <dimension ref="A1:F199"/>
  <sheetViews>
    <sheetView workbookViewId="0">
      <selection activeCell="K27" sqref="K27"/>
    </sheetView>
  </sheetViews>
  <sheetFormatPr baseColWidth="10" defaultRowHeight="15" x14ac:dyDescent="0.25"/>
  <cols>
    <col min="1" max="1" width="35.140625" bestFit="1" customWidth="1"/>
  </cols>
  <sheetData>
    <row r="1" spans="1:6" x14ac:dyDescent="0.25">
      <c r="A1" s="1" t="s">
        <v>0</v>
      </c>
    </row>
    <row r="2" spans="1:6" x14ac:dyDescent="0.25">
      <c r="A2" s="2" t="s">
        <v>1</v>
      </c>
    </row>
    <row r="3" spans="1:6" x14ac:dyDescent="0.25">
      <c r="A3" s="2" t="s">
        <v>2</v>
      </c>
    </row>
    <row r="4" spans="1:6" x14ac:dyDescent="0.25">
      <c r="A4" s="2" t="s">
        <v>3</v>
      </c>
    </row>
    <row r="5" spans="1:6" x14ac:dyDescent="0.25">
      <c r="A5" s="2" t="s">
        <v>4</v>
      </c>
    </row>
    <row r="6" spans="1:6" x14ac:dyDescent="0.25">
      <c r="A6" s="2" t="s">
        <v>5</v>
      </c>
    </row>
    <row r="7" spans="1:6" x14ac:dyDescent="0.25">
      <c r="A7" s="2" t="s">
        <v>6</v>
      </c>
    </row>
    <row r="8" spans="1:6" ht="15.75" thickBot="1" x14ac:dyDescent="0.3">
      <c r="A8" s="3" t="s">
        <v>7</v>
      </c>
      <c r="B8" s="4"/>
      <c r="C8" s="4" t="s">
        <v>8</v>
      </c>
      <c r="D8" s="4" t="s">
        <v>9</v>
      </c>
      <c r="E8" s="4" t="s">
        <v>10</v>
      </c>
      <c r="F8" s="4" t="s">
        <v>11</v>
      </c>
    </row>
    <row r="9" spans="1:6" x14ac:dyDescent="0.25">
      <c r="A9" s="5">
        <v>345</v>
      </c>
      <c r="B9" s="14">
        <v>14</v>
      </c>
      <c r="C9" s="8" t="s">
        <v>13</v>
      </c>
      <c r="D9" s="16">
        <f>3-112</f>
        <v>-109</v>
      </c>
      <c r="E9" s="18" t="s">
        <v>13</v>
      </c>
      <c r="F9" s="18">
        <v>130</v>
      </c>
    </row>
    <row r="10" spans="1:6" x14ac:dyDescent="0.25">
      <c r="A10" s="6" t="s">
        <v>12</v>
      </c>
      <c r="B10" s="13"/>
      <c r="C10" s="8"/>
      <c r="D10" s="15"/>
      <c r="E10" s="17"/>
      <c r="F10" s="17"/>
    </row>
    <row r="11" spans="1:6" x14ac:dyDescent="0.25">
      <c r="A11" s="7"/>
      <c r="B11" s="13"/>
      <c r="C11" s="8" t="s">
        <v>14</v>
      </c>
      <c r="D11" s="15"/>
      <c r="E11" s="17"/>
      <c r="F11" s="17"/>
    </row>
    <row r="12" spans="1:6" x14ac:dyDescent="0.25">
      <c r="A12" s="7"/>
      <c r="B12" s="13"/>
      <c r="C12" s="8"/>
      <c r="D12" s="15"/>
      <c r="E12" s="17"/>
      <c r="F12" s="17"/>
    </row>
    <row r="13" spans="1:6" x14ac:dyDescent="0.25">
      <c r="A13" s="7"/>
      <c r="B13" s="13"/>
      <c r="C13" s="8" t="s">
        <v>14</v>
      </c>
      <c r="D13" s="15"/>
      <c r="E13" s="17"/>
      <c r="F13" s="17"/>
    </row>
    <row r="14" spans="1:6" x14ac:dyDescent="0.25">
      <c r="A14" s="9">
        <v>346</v>
      </c>
      <c r="B14" s="19">
        <v>16</v>
      </c>
      <c r="C14" s="12">
        <f>-3-108</f>
        <v>-111</v>
      </c>
      <c r="D14" s="20">
        <f>-3-108</f>
        <v>-111</v>
      </c>
      <c r="E14" s="21" t="s">
        <v>16</v>
      </c>
      <c r="F14" s="21">
        <v>-155</v>
      </c>
    </row>
    <row r="15" spans="1:6" x14ac:dyDescent="0.25">
      <c r="A15" s="10" t="s">
        <v>15</v>
      </c>
      <c r="B15" s="19"/>
      <c r="C15" s="12"/>
      <c r="D15" s="20"/>
      <c r="E15" s="21"/>
      <c r="F15" s="21"/>
    </row>
    <row r="16" spans="1:6" x14ac:dyDescent="0.25">
      <c r="A16" s="11"/>
      <c r="B16" s="19"/>
      <c r="C16" s="12">
        <f>-3-108</f>
        <v>-111</v>
      </c>
      <c r="D16" s="20"/>
      <c r="E16" s="21"/>
      <c r="F16" s="21"/>
    </row>
    <row r="17" spans="1:6" x14ac:dyDescent="0.25">
      <c r="A17" s="11"/>
      <c r="B17" s="19"/>
      <c r="C17" s="12"/>
      <c r="D17" s="20"/>
      <c r="E17" s="21"/>
      <c r="F17" s="21"/>
    </row>
    <row r="18" spans="1:6" x14ac:dyDescent="0.25">
      <c r="A18" s="11"/>
      <c r="B18" s="19"/>
      <c r="C18" s="12">
        <f>-3-105</f>
        <v>-108</v>
      </c>
      <c r="D18" s="20"/>
      <c r="E18" s="21"/>
      <c r="F18" s="21"/>
    </row>
    <row r="19" spans="1:6" ht="37.5" x14ac:dyDescent="0.25">
      <c r="A19" s="22" t="s">
        <v>17</v>
      </c>
    </row>
    <row r="20" spans="1:6" x14ac:dyDescent="0.25">
      <c r="A20" s="23" t="s">
        <v>18</v>
      </c>
    </row>
    <row r="21" spans="1:6" ht="15.75" thickBot="1" x14ac:dyDescent="0.3">
      <c r="A21" s="3" t="s">
        <v>19</v>
      </c>
      <c r="B21" s="4"/>
      <c r="C21" s="4" t="s">
        <v>8</v>
      </c>
      <c r="D21" s="4" t="s">
        <v>9</v>
      </c>
      <c r="E21" s="4" t="s">
        <v>10</v>
      </c>
      <c r="F21" s="4" t="s">
        <v>11</v>
      </c>
    </row>
    <row r="22" spans="1:6" x14ac:dyDescent="0.25">
      <c r="A22" s="5">
        <v>361</v>
      </c>
      <c r="B22" s="25">
        <v>13</v>
      </c>
      <c r="C22" s="8">
        <f>-2.5-120</f>
        <v>-122.5</v>
      </c>
      <c r="D22" s="16">
        <f>-2.5-120</f>
        <v>-122.5</v>
      </c>
      <c r="E22" s="18" t="s">
        <v>21</v>
      </c>
      <c r="F22" s="16">
        <v>-155</v>
      </c>
    </row>
    <row r="23" spans="1:6" x14ac:dyDescent="0.25">
      <c r="A23" s="6" t="s">
        <v>20</v>
      </c>
      <c r="B23" s="24"/>
      <c r="C23" s="8"/>
      <c r="D23" s="15"/>
      <c r="E23" s="17"/>
      <c r="F23" s="15"/>
    </row>
    <row r="24" spans="1:6" x14ac:dyDescent="0.25">
      <c r="A24" s="7"/>
      <c r="B24" s="24"/>
      <c r="C24" s="8">
        <f>-2.5-120</f>
        <v>-122.5</v>
      </c>
      <c r="D24" s="15"/>
      <c r="E24" s="17"/>
      <c r="F24" s="15"/>
    </row>
    <row r="25" spans="1:6" x14ac:dyDescent="0.25">
      <c r="A25" s="7"/>
      <c r="B25" s="24"/>
      <c r="C25" s="8"/>
      <c r="D25" s="15"/>
      <c r="E25" s="17"/>
      <c r="F25" s="15"/>
    </row>
    <row r="26" spans="1:6" x14ac:dyDescent="0.25">
      <c r="A26" s="7"/>
      <c r="B26" s="24"/>
      <c r="C26" s="8">
        <f>-2.5-120</f>
        <v>-122.5</v>
      </c>
      <c r="D26" s="15"/>
      <c r="E26" s="17"/>
      <c r="F26" s="15"/>
    </row>
    <row r="27" spans="1:6" x14ac:dyDescent="0.25">
      <c r="A27" s="9">
        <v>362</v>
      </c>
      <c r="B27" s="26">
        <v>3</v>
      </c>
      <c r="C27" s="12" t="s">
        <v>23</v>
      </c>
      <c r="D27" s="20" t="s">
        <v>26</v>
      </c>
      <c r="E27" s="21" t="s">
        <v>23</v>
      </c>
      <c r="F27" s="20">
        <v>130</v>
      </c>
    </row>
    <row r="28" spans="1:6" x14ac:dyDescent="0.25">
      <c r="A28" s="10" t="s">
        <v>22</v>
      </c>
      <c r="B28" s="26"/>
      <c r="C28" s="12"/>
      <c r="D28" s="20"/>
      <c r="E28" s="21"/>
      <c r="F28" s="20"/>
    </row>
    <row r="29" spans="1:6" x14ac:dyDescent="0.25">
      <c r="A29" s="11"/>
      <c r="B29" s="26"/>
      <c r="C29" s="12" t="s">
        <v>24</v>
      </c>
      <c r="D29" s="20"/>
      <c r="E29" s="21"/>
      <c r="F29" s="20"/>
    </row>
    <row r="30" spans="1:6" x14ac:dyDescent="0.25">
      <c r="A30" s="11"/>
      <c r="B30" s="26"/>
      <c r="C30" s="12"/>
      <c r="D30" s="20"/>
      <c r="E30" s="21"/>
      <c r="F30" s="20"/>
    </row>
    <row r="31" spans="1:6" x14ac:dyDescent="0.25">
      <c r="A31" s="11"/>
      <c r="B31" s="26"/>
      <c r="C31" s="12" t="s">
        <v>25</v>
      </c>
      <c r="D31" s="20"/>
      <c r="E31" s="21"/>
      <c r="F31" s="20"/>
    </row>
    <row r="32" spans="1:6" ht="37.5" x14ac:dyDescent="0.25">
      <c r="A32" s="22" t="s">
        <v>17</v>
      </c>
    </row>
    <row r="33" spans="1:6" ht="15.75" thickBot="1" x14ac:dyDescent="0.3">
      <c r="A33" s="3" t="s">
        <v>27</v>
      </c>
      <c r="B33" s="4"/>
      <c r="C33" s="4" t="s">
        <v>8</v>
      </c>
      <c r="D33" s="4" t="s">
        <v>9</v>
      </c>
      <c r="E33" s="4" t="s">
        <v>10</v>
      </c>
      <c r="F33" s="4" t="s">
        <v>11</v>
      </c>
    </row>
    <row r="34" spans="1:6" x14ac:dyDescent="0.25">
      <c r="A34" s="5">
        <v>351</v>
      </c>
      <c r="B34" s="25">
        <v>20</v>
      </c>
      <c r="C34" s="8" t="s">
        <v>29</v>
      </c>
      <c r="D34" s="16">
        <f>8.5-105</f>
        <v>-96.5</v>
      </c>
      <c r="E34" s="18" t="s">
        <v>32</v>
      </c>
      <c r="F34" s="16">
        <v>340</v>
      </c>
    </row>
    <row r="35" spans="1:6" x14ac:dyDescent="0.25">
      <c r="A35" s="6" t="s">
        <v>28</v>
      </c>
      <c r="B35" s="24"/>
      <c r="C35" s="8"/>
      <c r="D35" s="15"/>
      <c r="E35" s="17"/>
      <c r="F35" s="15"/>
    </row>
    <row r="36" spans="1:6" x14ac:dyDescent="0.25">
      <c r="A36" s="7"/>
      <c r="B36" s="24"/>
      <c r="C36" s="8" t="s">
        <v>30</v>
      </c>
      <c r="D36" s="15"/>
      <c r="E36" s="17"/>
      <c r="F36" s="15"/>
    </row>
    <row r="37" spans="1:6" x14ac:dyDescent="0.25">
      <c r="A37" s="7"/>
      <c r="B37" s="24"/>
      <c r="C37" s="8"/>
      <c r="D37" s="15"/>
      <c r="E37" s="17"/>
      <c r="F37" s="15"/>
    </row>
    <row r="38" spans="1:6" x14ac:dyDescent="0.25">
      <c r="A38" s="7"/>
      <c r="B38" s="24"/>
      <c r="C38" s="8" t="s">
        <v>31</v>
      </c>
      <c r="D38" s="15"/>
      <c r="E38" s="17"/>
      <c r="F38" s="15"/>
    </row>
    <row r="39" spans="1:6" x14ac:dyDescent="0.25">
      <c r="A39" s="9">
        <v>352</v>
      </c>
      <c r="B39" s="26">
        <v>18</v>
      </c>
      <c r="C39" s="12">
        <f>-9.5-108</f>
        <v>-117.5</v>
      </c>
      <c r="D39" s="20">
        <f>-8.5-115</f>
        <v>-123.5</v>
      </c>
      <c r="E39" s="21" t="s">
        <v>29</v>
      </c>
      <c r="F39" s="20">
        <v>-455</v>
      </c>
    </row>
    <row r="40" spans="1:6" x14ac:dyDescent="0.25">
      <c r="A40" s="10" t="s">
        <v>33</v>
      </c>
      <c r="B40" s="26"/>
      <c r="C40" s="12"/>
      <c r="D40" s="20"/>
      <c r="E40" s="21"/>
      <c r="F40" s="20"/>
    </row>
    <row r="41" spans="1:6" x14ac:dyDescent="0.25">
      <c r="A41" s="11"/>
      <c r="B41" s="26"/>
      <c r="C41" s="12">
        <f>-9.5-108</f>
        <v>-117.5</v>
      </c>
      <c r="D41" s="20"/>
      <c r="E41" s="21"/>
      <c r="F41" s="20"/>
    </row>
    <row r="42" spans="1:6" x14ac:dyDescent="0.25">
      <c r="A42" s="11"/>
      <c r="B42" s="26"/>
      <c r="C42" s="12"/>
      <c r="D42" s="20"/>
      <c r="E42" s="21"/>
      <c r="F42" s="20"/>
    </row>
    <row r="43" spans="1:6" x14ac:dyDescent="0.25">
      <c r="A43" s="11"/>
      <c r="B43" s="26"/>
      <c r="C43" s="12">
        <f>-9.5-108</f>
        <v>-117.5</v>
      </c>
      <c r="D43" s="20"/>
      <c r="E43" s="21"/>
      <c r="F43" s="20"/>
    </row>
    <row r="44" spans="1:6" ht="37.5" x14ac:dyDescent="0.25">
      <c r="A44" s="22" t="s">
        <v>17</v>
      </c>
    </row>
    <row r="45" spans="1:6" ht="15.75" thickBot="1" x14ac:dyDescent="0.3">
      <c r="A45" s="3" t="s">
        <v>27</v>
      </c>
      <c r="B45" s="4"/>
      <c r="C45" s="4" t="s">
        <v>8</v>
      </c>
      <c r="D45" s="4" t="s">
        <v>9</v>
      </c>
      <c r="E45" s="4" t="s">
        <v>10</v>
      </c>
      <c r="F45" s="4" t="s">
        <v>11</v>
      </c>
    </row>
    <row r="46" spans="1:6" x14ac:dyDescent="0.25">
      <c r="A46" s="5">
        <v>337</v>
      </c>
      <c r="B46" s="14">
        <v>30</v>
      </c>
      <c r="C46" s="8" t="s">
        <v>35</v>
      </c>
      <c r="D46" s="16">
        <f>9.5-110</f>
        <v>-100.5</v>
      </c>
      <c r="E46" s="16" t="s">
        <v>35</v>
      </c>
      <c r="F46" s="18">
        <v>390</v>
      </c>
    </row>
    <row r="47" spans="1:6" x14ac:dyDescent="0.25">
      <c r="A47" s="6" t="s">
        <v>34</v>
      </c>
      <c r="B47" s="13"/>
      <c r="C47" s="8"/>
      <c r="D47" s="15"/>
      <c r="E47" s="15"/>
      <c r="F47" s="17"/>
    </row>
    <row r="48" spans="1:6" x14ac:dyDescent="0.25">
      <c r="A48" s="7"/>
      <c r="B48" s="13"/>
      <c r="C48" s="8" t="s">
        <v>35</v>
      </c>
      <c r="D48" s="15"/>
      <c r="E48" s="15"/>
      <c r="F48" s="17"/>
    </row>
    <row r="49" spans="1:6" x14ac:dyDescent="0.25">
      <c r="A49" s="7"/>
      <c r="B49" s="13"/>
      <c r="C49" s="8"/>
      <c r="D49" s="15"/>
      <c r="E49" s="15"/>
      <c r="F49" s="17"/>
    </row>
    <row r="50" spans="1:6" x14ac:dyDescent="0.25">
      <c r="A50" s="7"/>
      <c r="B50" s="13"/>
      <c r="C50" s="8" t="s">
        <v>35</v>
      </c>
      <c r="D50" s="15"/>
      <c r="E50" s="15"/>
      <c r="F50" s="17"/>
    </row>
    <row r="51" spans="1:6" x14ac:dyDescent="0.25">
      <c r="A51" s="9">
        <v>338</v>
      </c>
      <c r="B51" s="19">
        <v>38</v>
      </c>
      <c r="C51" s="12">
        <f>-9.5-110</f>
        <v>-119.5</v>
      </c>
      <c r="D51" s="20">
        <f>-9.5-110</f>
        <v>-119.5</v>
      </c>
      <c r="E51" s="20" t="s">
        <v>37</v>
      </c>
      <c r="F51" s="21">
        <v>-485</v>
      </c>
    </row>
    <row r="52" spans="1:6" x14ac:dyDescent="0.25">
      <c r="A52" s="10" t="s">
        <v>36</v>
      </c>
      <c r="B52" s="19"/>
      <c r="C52" s="12"/>
      <c r="D52" s="20"/>
      <c r="E52" s="20"/>
      <c r="F52" s="21"/>
    </row>
    <row r="53" spans="1:6" x14ac:dyDescent="0.25">
      <c r="A53" s="11"/>
      <c r="B53" s="19"/>
      <c r="C53" s="12">
        <f>-10-110</f>
        <v>-120</v>
      </c>
      <c r="D53" s="20"/>
      <c r="E53" s="20"/>
      <c r="F53" s="21"/>
    </row>
    <row r="54" spans="1:6" x14ac:dyDescent="0.25">
      <c r="A54" s="11"/>
      <c r="B54" s="19"/>
      <c r="C54" s="12"/>
      <c r="D54" s="20"/>
      <c r="E54" s="20"/>
      <c r="F54" s="21"/>
    </row>
    <row r="55" spans="1:6" x14ac:dyDescent="0.25">
      <c r="A55" s="11"/>
      <c r="B55" s="19"/>
      <c r="C55" s="12">
        <f>-10-110</f>
        <v>-120</v>
      </c>
      <c r="D55" s="20"/>
      <c r="E55" s="20"/>
      <c r="F55" s="21"/>
    </row>
    <row r="56" spans="1:6" ht="37.5" x14ac:dyDescent="0.25">
      <c r="A56" s="22" t="s">
        <v>17</v>
      </c>
    </row>
    <row r="57" spans="1:6" ht="15.75" thickBot="1" x14ac:dyDescent="0.3">
      <c r="A57" s="3" t="s">
        <v>27</v>
      </c>
      <c r="B57" s="4"/>
      <c r="C57" s="4" t="s">
        <v>8</v>
      </c>
      <c r="D57" s="4" t="s">
        <v>9</v>
      </c>
      <c r="E57" s="4" t="s">
        <v>10</v>
      </c>
      <c r="F57" s="4" t="s">
        <v>11</v>
      </c>
    </row>
    <row r="58" spans="1:6" x14ac:dyDescent="0.25">
      <c r="A58" s="5">
        <v>357</v>
      </c>
      <c r="B58" s="14">
        <v>17</v>
      </c>
      <c r="C58" s="8" t="s">
        <v>39</v>
      </c>
      <c r="D58" s="16" t="s">
        <v>41</v>
      </c>
      <c r="E58" s="18" t="s">
        <v>42</v>
      </c>
      <c r="F58" s="18">
        <v>160</v>
      </c>
    </row>
    <row r="59" spans="1:6" x14ac:dyDescent="0.25">
      <c r="A59" s="6" t="s">
        <v>38</v>
      </c>
      <c r="B59" s="13"/>
      <c r="C59" s="8"/>
      <c r="D59" s="15"/>
      <c r="E59" s="17"/>
      <c r="F59" s="17"/>
    </row>
    <row r="60" spans="1:6" x14ac:dyDescent="0.25">
      <c r="A60" s="7"/>
      <c r="B60" s="13"/>
      <c r="C60" s="8" t="s">
        <v>39</v>
      </c>
      <c r="D60" s="15"/>
      <c r="E60" s="17"/>
      <c r="F60" s="17"/>
    </row>
    <row r="61" spans="1:6" x14ac:dyDescent="0.25">
      <c r="A61" s="7"/>
      <c r="B61" s="13"/>
      <c r="C61" s="8"/>
      <c r="D61" s="15"/>
      <c r="E61" s="17"/>
      <c r="F61" s="17"/>
    </row>
    <row r="62" spans="1:6" x14ac:dyDescent="0.25">
      <c r="A62" s="7"/>
      <c r="B62" s="13"/>
      <c r="C62" s="8" t="s">
        <v>40</v>
      </c>
      <c r="D62" s="15"/>
      <c r="E62" s="17"/>
      <c r="F62" s="17"/>
    </row>
    <row r="63" spans="1:6" x14ac:dyDescent="0.25">
      <c r="A63" s="9">
        <v>358</v>
      </c>
      <c r="B63" s="19">
        <v>19</v>
      </c>
      <c r="C63" s="12">
        <f>-3.5-120</f>
        <v>-123.5</v>
      </c>
      <c r="D63" s="20">
        <f>-3.5-120</f>
        <v>-123.5</v>
      </c>
      <c r="E63" s="21" t="s">
        <v>44</v>
      </c>
      <c r="F63" s="21">
        <v>-192</v>
      </c>
    </row>
    <row r="64" spans="1:6" x14ac:dyDescent="0.25">
      <c r="A64" s="10" t="s">
        <v>43</v>
      </c>
      <c r="B64" s="19"/>
      <c r="C64" s="12"/>
      <c r="D64" s="20"/>
      <c r="E64" s="21"/>
      <c r="F64" s="21"/>
    </row>
    <row r="65" spans="1:6" x14ac:dyDescent="0.25">
      <c r="A65" s="11"/>
      <c r="B65" s="19"/>
      <c r="C65" s="12">
        <f>-3.5-120</f>
        <v>-123.5</v>
      </c>
      <c r="D65" s="20"/>
      <c r="E65" s="21"/>
      <c r="F65" s="21"/>
    </row>
    <row r="66" spans="1:6" x14ac:dyDescent="0.25">
      <c r="A66" s="11"/>
      <c r="B66" s="19"/>
      <c r="C66" s="12"/>
      <c r="D66" s="20"/>
      <c r="E66" s="21"/>
      <c r="F66" s="21"/>
    </row>
    <row r="67" spans="1:6" x14ac:dyDescent="0.25">
      <c r="A67" s="11"/>
      <c r="B67" s="19"/>
      <c r="C67" s="12">
        <f>-3.5-120</f>
        <v>-123.5</v>
      </c>
      <c r="D67" s="20"/>
      <c r="E67" s="21"/>
      <c r="F67" s="21"/>
    </row>
    <row r="68" spans="1:6" ht="37.5" x14ac:dyDescent="0.25">
      <c r="A68" s="22" t="s">
        <v>17</v>
      </c>
    </row>
    <row r="69" spans="1:6" ht="15.75" thickBot="1" x14ac:dyDescent="0.3">
      <c r="A69" s="3" t="s">
        <v>27</v>
      </c>
      <c r="B69" s="4"/>
      <c r="C69" s="4" t="s">
        <v>8</v>
      </c>
      <c r="D69" s="4" t="s">
        <v>9</v>
      </c>
      <c r="E69" s="4" t="s">
        <v>10</v>
      </c>
      <c r="F69" s="4" t="s">
        <v>11</v>
      </c>
    </row>
    <row r="70" spans="1:6" x14ac:dyDescent="0.25">
      <c r="A70" s="5">
        <v>353</v>
      </c>
      <c r="B70" s="14">
        <v>17</v>
      </c>
      <c r="C70" s="8">
        <f>-3-115</f>
        <v>-118</v>
      </c>
      <c r="D70" s="18">
        <f>-3-115</f>
        <v>-118</v>
      </c>
      <c r="E70" s="16" t="s">
        <v>46</v>
      </c>
      <c r="F70" s="18">
        <v>-170</v>
      </c>
    </row>
    <row r="71" spans="1:6" x14ac:dyDescent="0.25">
      <c r="A71" s="6" t="s">
        <v>45</v>
      </c>
      <c r="B71" s="13"/>
      <c r="C71" s="8"/>
      <c r="D71" s="17"/>
      <c r="E71" s="15"/>
      <c r="F71" s="17"/>
    </row>
    <row r="72" spans="1:6" x14ac:dyDescent="0.25">
      <c r="A72" s="7"/>
      <c r="B72" s="13"/>
      <c r="C72" s="8">
        <f>-3-115</f>
        <v>-118</v>
      </c>
      <c r="D72" s="17"/>
      <c r="E72" s="15"/>
      <c r="F72" s="17"/>
    </row>
    <row r="73" spans="1:6" x14ac:dyDescent="0.25">
      <c r="A73" s="7"/>
      <c r="B73" s="13"/>
      <c r="C73" s="8"/>
      <c r="D73" s="17"/>
      <c r="E73" s="15"/>
      <c r="F73" s="17"/>
    </row>
    <row r="74" spans="1:6" x14ac:dyDescent="0.25">
      <c r="A74" s="7"/>
      <c r="B74" s="13"/>
      <c r="C74" s="8">
        <f>-3-108</f>
        <v>-111</v>
      </c>
      <c r="D74" s="17"/>
      <c r="E74" s="15"/>
      <c r="F74" s="17"/>
    </row>
    <row r="75" spans="1:6" x14ac:dyDescent="0.25">
      <c r="A75" s="9">
        <v>354</v>
      </c>
      <c r="B75" s="19">
        <v>34</v>
      </c>
      <c r="C75" s="12" t="s">
        <v>46</v>
      </c>
      <c r="D75" s="21">
        <f>3-105</f>
        <v>-102</v>
      </c>
      <c r="E75" s="20" t="s">
        <v>49</v>
      </c>
      <c r="F75" s="21">
        <v>140</v>
      </c>
    </row>
    <row r="76" spans="1:6" x14ac:dyDescent="0.25">
      <c r="A76" s="10" t="s">
        <v>47</v>
      </c>
      <c r="B76" s="19"/>
      <c r="C76" s="12"/>
      <c r="D76" s="21"/>
      <c r="E76" s="20"/>
      <c r="F76" s="21"/>
    </row>
    <row r="77" spans="1:6" x14ac:dyDescent="0.25">
      <c r="A77" s="11"/>
      <c r="B77" s="19"/>
      <c r="C77" s="12" t="s">
        <v>48</v>
      </c>
      <c r="D77" s="21"/>
      <c r="E77" s="20"/>
      <c r="F77" s="21"/>
    </row>
    <row r="78" spans="1:6" x14ac:dyDescent="0.25">
      <c r="A78" s="11"/>
      <c r="B78" s="19"/>
      <c r="C78" s="12"/>
      <c r="D78" s="21"/>
      <c r="E78" s="20"/>
      <c r="F78" s="21"/>
    </row>
    <row r="79" spans="1:6" x14ac:dyDescent="0.25">
      <c r="A79" s="11"/>
      <c r="B79" s="19"/>
      <c r="C79" s="12" t="s">
        <v>48</v>
      </c>
      <c r="D79" s="21"/>
      <c r="E79" s="20"/>
      <c r="F79" s="21"/>
    </row>
    <row r="80" spans="1:6" ht="37.5" x14ac:dyDescent="0.25">
      <c r="A80" s="22" t="s">
        <v>17</v>
      </c>
    </row>
    <row r="81" spans="1:6" ht="15.75" thickBot="1" x14ac:dyDescent="0.3">
      <c r="A81" s="3" t="s">
        <v>27</v>
      </c>
      <c r="B81" s="4"/>
      <c r="C81" s="4" t="s">
        <v>8</v>
      </c>
      <c r="D81" s="4" t="s">
        <v>9</v>
      </c>
      <c r="E81" s="4" t="s">
        <v>10</v>
      </c>
      <c r="F81" s="4" t="s">
        <v>11</v>
      </c>
    </row>
    <row r="82" spans="1:6" x14ac:dyDescent="0.25">
      <c r="A82" s="5">
        <v>365</v>
      </c>
      <c r="B82" s="14">
        <v>7</v>
      </c>
      <c r="C82" s="8" t="s">
        <v>51</v>
      </c>
      <c r="D82" s="18">
        <f>13.5-115</f>
        <v>-101.5</v>
      </c>
      <c r="E82" s="16" t="s">
        <v>51</v>
      </c>
      <c r="F82" s="18">
        <v>575</v>
      </c>
    </row>
    <row r="83" spans="1:6" x14ac:dyDescent="0.25">
      <c r="A83" s="6" t="s">
        <v>50</v>
      </c>
      <c r="B83" s="13"/>
      <c r="C83" s="8"/>
      <c r="D83" s="17"/>
      <c r="E83" s="15"/>
      <c r="F83" s="17"/>
    </row>
    <row r="84" spans="1:6" x14ac:dyDescent="0.25">
      <c r="A84" s="7"/>
      <c r="B84" s="13"/>
      <c r="C84" s="8" t="s">
        <v>51</v>
      </c>
      <c r="D84" s="17"/>
      <c r="E84" s="15"/>
      <c r="F84" s="17"/>
    </row>
    <row r="85" spans="1:6" x14ac:dyDescent="0.25">
      <c r="A85" s="7"/>
      <c r="B85" s="13"/>
      <c r="C85" s="8"/>
      <c r="D85" s="17"/>
      <c r="E85" s="15"/>
      <c r="F85" s="17"/>
    </row>
    <row r="86" spans="1:6" x14ac:dyDescent="0.25">
      <c r="A86" s="7"/>
      <c r="B86" s="13"/>
      <c r="C86" s="8" t="s">
        <v>51</v>
      </c>
      <c r="D86" s="17"/>
      <c r="E86" s="15"/>
      <c r="F86" s="17"/>
    </row>
    <row r="87" spans="1:6" x14ac:dyDescent="0.25">
      <c r="A87" s="9">
        <v>366</v>
      </c>
      <c r="B87" s="19">
        <v>41</v>
      </c>
      <c r="C87" s="12">
        <f>-12.5-115</f>
        <v>-127.5</v>
      </c>
      <c r="D87" s="21">
        <f>-13.5-105</f>
        <v>-118.5</v>
      </c>
      <c r="E87" s="20" t="s">
        <v>53</v>
      </c>
      <c r="F87" s="21">
        <v>-800</v>
      </c>
    </row>
    <row r="88" spans="1:6" x14ac:dyDescent="0.25">
      <c r="A88" s="10" t="s">
        <v>52</v>
      </c>
      <c r="B88" s="19"/>
      <c r="C88" s="12"/>
      <c r="D88" s="21"/>
      <c r="E88" s="20"/>
      <c r="F88" s="21"/>
    </row>
    <row r="89" spans="1:6" x14ac:dyDescent="0.25">
      <c r="A89" s="11"/>
      <c r="B89" s="19"/>
      <c r="C89" s="12">
        <f>-12.5-110</f>
        <v>-122.5</v>
      </c>
      <c r="D89" s="21"/>
      <c r="E89" s="20"/>
      <c r="F89" s="21"/>
    </row>
    <row r="90" spans="1:6" x14ac:dyDescent="0.25">
      <c r="A90" s="11"/>
      <c r="B90" s="19"/>
      <c r="C90" s="12"/>
      <c r="D90" s="21"/>
      <c r="E90" s="20"/>
      <c r="F90" s="21"/>
    </row>
    <row r="91" spans="1:6" x14ac:dyDescent="0.25">
      <c r="A91" s="11"/>
      <c r="B91" s="19"/>
      <c r="C91" s="12">
        <f>-12.5-115</f>
        <v>-127.5</v>
      </c>
      <c r="D91" s="21"/>
      <c r="E91" s="20"/>
      <c r="F91" s="21"/>
    </row>
    <row r="92" spans="1:6" ht="37.5" x14ac:dyDescent="0.25">
      <c r="A92" s="22" t="s">
        <v>17</v>
      </c>
    </row>
    <row r="93" spans="1:6" ht="15.75" thickBot="1" x14ac:dyDescent="0.3">
      <c r="A93" s="3" t="s">
        <v>27</v>
      </c>
      <c r="B93" s="4"/>
      <c r="C93" s="4" t="s">
        <v>8</v>
      </c>
      <c r="D93" s="4" t="s">
        <v>9</v>
      </c>
      <c r="E93" s="4" t="s">
        <v>10</v>
      </c>
      <c r="F93" s="4" t="s">
        <v>11</v>
      </c>
    </row>
    <row r="94" spans="1:6" x14ac:dyDescent="0.25">
      <c r="A94" s="5">
        <v>335</v>
      </c>
      <c r="B94" s="14">
        <v>3</v>
      </c>
      <c r="C94" s="8" t="s">
        <v>55</v>
      </c>
      <c r="D94" s="16">
        <f>13.5-115</f>
        <v>-101.5</v>
      </c>
      <c r="E94" s="18" t="s">
        <v>56</v>
      </c>
      <c r="F94" s="18">
        <v>525</v>
      </c>
    </row>
    <row r="95" spans="1:6" x14ac:dyDescent="0.25">
      <c r="A95" s="6" t="s">
        <v>54</v>
      </c>
      <c r="B95" s="13"/>
      <c r="C95" s="8"/>
      <c r="D95" s="15"/>
      <c r="E95" s="17"/>
      <c r="F95" s="17"/>
    </row>
    <row r="96" spans="1:6" x14ac:dyDescent="0.25">
      <c r="A96" s="7"/>
      <c r="B96" s="13"/>
      <c r="C96" s="8" t="s">
        <v>55</v>
      </c>
      <c r="D96" s="15"/>
      <c r="E96" s="17"/>
      <c r="F96" s="17"/>
    </row>
    <row r="97" spans="1:6" x14ac:dyDescent="0.25">
      <c r="A97" s="7"/>
      <c r="B97" s="13"/>
      <c r="C97" s="8"/>
      <c r="D97" s="15"/>
      <c r="E97" s="17"/>
      <c r="F97" s="17"/>
    </row>
    <row r="98" spans="1:6" x14ac:dyDescent="0.25">
      <c r="A98" s="7"/>
      <c r="B98" s="13"/>
      <c r="C98" s="8" t="s">
        <v>55</v>
      </c>
      <c r="D98" s="15"/>
      <c r="E98" s="17"/>
      <c r="F98" s="17"/>
    </row>
    <row r="99" spans="1:6" x14ac:dyDescent="0.25">
      <c r="A99" s="9">
        <v>336</v>
      </c>
      <c r="B99" s="19">
        <v>16</v>
      </c>
      <c r="C99" s="12">
        <f>-13.5-105</f>
        <v>-118.5</v>
      </c>
      <c r="D99" s="20">
        <f>-13.5-105</f>
        <v>-118.5</v>
      </c>
      <c r="E99" s="21" t="s">
        <v>55</v>
      </c>
      <c r="F99" s="21">
        <v>-750</v>
      </c>
    </row>
    <row r="100" spans="1:6" x14ac:dyDescent="0.25">
      <c r="A100" s="10" t="s">
        <v>57</v>
      </c>
      <c r="B100" s="19"/>
      <c r="C100" s="12"/>
      <c r="D100" s="20"/>
      <c r="E100" s="21"/>
      <c r="F100" s="21"/>
    </row>
    <row r="101" spans="1:6" x14ac:dyDescent="0.25">
      <c r="A101" s="11"/>
      <c r="B101" s="19"/>
      <c r="C101" s="12">
        <f>-12.5-115</f>
        <v>-127.5</v>
      </c>
      <c r="D101" s="20"/>
      <c r="E101" s="21"/>
      <c r="F101" s="21"/>
    </row>
    <row r="102" spans="1:6" x14ac:dyDescent="0.25">
      <c r="A102" s="11"/>
      <c r="B102" s="19"/>
      <c r="C102" s="12"/>
      <c r="D102" s="20"/>
      <c r="E102" s="21"/>
      <c r="F102" s="21"/>
    </row>
    <row r="103" spans="1:6" x14ac:dyDescent="0.25">
      <c r="A103" s="11"/>
      <c r="B103" s="19"/>
      <c r="C103" s="12">
        <f>-12.5-108</f>
        <v>-120.5</v>
      </c>
      <c r="D103" s="20"/>
      <c r="E103" s="21"/>
      <c r="F103" s="21"/>
    </row>
    <row r="104" spans="1:6" ht="37.5" x14ac:dyDescent="0.25">
      <c r="A104" s="22" t="s">
        <v>17</v>
      </c>
    </row>
    <row r="105" spans="1:6" ht="15.75" thickBot="1" x14ac:dyDescent="0.3">
      <c r="A105" s="3" t="s">
        <v>58</v>
      </c>
      <c r="B105" s="4"/>
      <c r="C105" s="4" t="s">
        <v>8</v>
      </c>
      <c r="D105" s="4" t="s">
        <v>9</v>
      </c>
      <c r="E105" s="4" t="s">
        <v>10</v>
      </c>
      <c r="F105" s="4" t="s">
        <v>11</v>
      </c>
    </row>
    <row r="106" spans="1:6" x14ac:dyDescent="0.25">
      <c r="A106" s="5">
        <v>347</v>
      </c>
      <c r="B106" s="14">
        <v>8</v>
      </c>
      <c r="C106" s="8" t="s">
        <v>60</v>
      </c>
      <c r="D106" s="18">
        <f>12.5-105</f>
        <v>-92.5</v>
      </c>
      <c r="E106" s="16" t="s">
        <v>61</v>
      </c>
      <c r="F106" s="18">
        <v>575</v>
      </c>
    </row>
    <row r="107" spans="1:6" x14ac:dyDescent="0.25">
      <c r="A107" s="6" t="s">
        <v>59</v>
      </c>
      <c r="B107" s="13"/>
      <c r="C107" s="8"/>
      <c r="D107" s="17"/>
      <c r="E107" s="15"/>
      <c r="F107" s="17"/>
    </row>
    <row r="108" spans="1:6" x14ac:dyDescent="0.25">
      <c r="A108" s="7"/>
      <c r="B108" s="13"/>
      <c r="C108" s="8" t="s">
        <v>60</v>
      </c>
      <c r="D108" s="17"/>
      <c r="E108" s="15"/>
      <c r="F108" s="17"/>
    </row>
    <row r="109" spans="1:6" x14ac:dyDescent="0.25">
      <c r="A109" s="7"/>
      <c r="B109" s="13"/>
      <c r="C109" s="8"/>
      <c r="D109" s="17"/>
      <c r="E109" s="15"/>
      <c r="F109" s="17"/>
    </row>
    <row r="110" spans="1:6" x14ac:dyDescent="0.25">
      <c r="A110" s="7"/>
      <c r="B110" s="13"/>
      <c r="C110" s="8" t="s">
        <v>60</v>
      </c>
      <c r="D110" s="17"/>
      <c r="E110" s="15"/>
      <c r="F110" s="17"/>
    </row>
    <row r="111" spans="1:6" x14ac:dyDescent="0.25">
      <c r="A111" s="9">
        <v>348</v>
      </c>
      <c r="B111" s="19">
        <v>35</v>
      </c>
      <c r="C111" s="12">
        <f>-12.5-115</f>
        <v>-127.5</v>
      </c>
      <c r="D111" s="21">
        <f>-12.5-115</f>
        <v>-127.5</v>
      </c>
      <c r="E111" s="20" t="s">
        <v>60</v>
      </c>
      <c r="F111" s="21">
        <v>-850</v>
      </c>
    </row>
    <row r="112" spans="1:6" x14ac:dyDescent="0.25">
      <c r="A112" s="10" t="s">
        <v>62</v>
      </c>
      <c r="B112" s="19"/>
      <c r="C112" s="12"/>
      <c r="D112" s="21"/>
      <c r="E112" s="20"/>
      <c r="F112" s="21"/>
    </row>
    <row r="113" spans="1:6" x14ac:dyDescent="0.25">
      <c r="A113" s="11"/>
      <c r="B113" s="19"/>
      <c r="C113" s="12">
        <f>-13.5-105</f>
        <v>-118.5</v>
      </c>
      <c r="D113" s="21"/>
      <c r="E113" s="20"/>
      <c r="F113" s="21"/>
    </row>
    <row r="114" spans="1:6" x14ac:dyDescent="0.25">
      <c r="A114" s="11"/>
      <c r="B114" s="19"/>
      <c r="C114" s="12"/>
      <c r="D114" s="21"/>
      <c r="E114" s="20"/>
      <c r="F114" s="21"/>
    </row>
    <row r="115" spans="1:6" x14ac:dyDescent="0.25">
      <c r="A115" s="11"/>
      <c r="B115" s="19"/>
      <c r="C115" s="12">
        <f>-12.5-115</f>
        <v>-127.5</v>
      </c>
      <c r="D115" s="21"/>
      <c r="E115" s="20"/>
      <c r="F115" s="21"/>
    </row>
    <row r="116" spans="1:6" ht="37.5" x14ac:dyDescent="0.25">
      <c r="A116" s="22" t="s">
        <v>17</v>
      </c>
    </row>
    <row r="117" spans="1:6" ht="15.75" thickBot="1" x14ac:dyDescent="0.3">
      <c r="A117" s="3" t="s">
        <v>58</v>
      </c>
      <c r="B117" s="4"/>
      <c r="C117" s="4" t="s">
        <v>8</v>
      </c>
      <c r="D117" s="4" t="s">
        <v>9</v>
      </c>
      <c r="E117" s="4" t="s">
        <v>10</v>
      </c>
      <c r="F117" s="4" t="s">
        <v>11</v>
      </c>
    </row>
    <row r="118" spans="1:6" x14ac:dyDescent="0.25">
      <c r="A118" s="5">
        <v>359</v>
      </c>
      <c r="B118" s="14">
        <v>20</v>
      </c>
      <c r="C118" s="8" t="s">
        <v>64</v>
      </c>
      <c r="D118" s="18">
        <f>14.5-115</f>
        <v>-100.5</v>
      </c>
      <c r="E118" s="16" t="s">
        <v>64</v>
      </c>
      <c r="F118" s="18">
        <v>800</v>
      </c>
    </row>
    <row r="119" spans="1:6" x14ac:dyDescent="0.25">
      <c r="A119" s="6" t="s">
        <v>63</v>
      </c>
      <c r="B119" s="13"/>
      <c r="C119" s="8"/>
      <c r="D119" s="17"/>
      <c r="E119" s="15"/>
      <c r="F119" s="17"/>
    </row>
    <row r="120" spans="1:6" x14ac:dyDescent="0.25">
      <c r="A120" s="7"/>
      <c r="B120" s="13"/>
      <c r="C120" s="8" t="s">
        <v>65</v>
      </c>
      <c r="D120" s="17"/>
      <c r="E120" s="15"/>
      <c r="F120" s="17"/>
    </row>
    <row r="121" spans="1:6" x14ac:dyDescent="0.25">
      <c r="A121" s="7"/>
      <c r="B121" s="13"/>
      <c r="C121" s="8"/>
      <c r="D121" s="17"/>
      <c r="E121" s="15"/>
      <c r="F121" s="17"/>
    </row>
    <row r="122" spans="1:6" x14ac:dyDescent="0.25">
      <c r="A122" s="7"/>
      <c r="B122" s="13"/>
      <c r="C122" s="8" t="s">
        <v>65</v>
      </c>
      <c r="D122" s="17"/>
      <c r="E122" s="15"/>
      <c r="F122" s="17"/>
    </row>
    <row r="123" spans="1:6" x14ac:dyDescent="0.25">
      <c r="A123" s="9">
        <v>360</v>
      </c>
      <c r="B123" s="19">
        <v>37</v>
      </c>
      <c r="C123" s="12">
        <f>-14.5-105</f>
        <v>-119.5</v>
      </c>
      <c r="D123" s="21">
        <f>-14.5-105</f>
        <v>-119.5</v>
      </c>
      <c r="E123" s="20" t="s">
        <v>67</v>
      </c>
      <c r="F123" s="21">
        <v>-1200</v>
      </c>
    </row>
    <row r="124" spans="1:6" x14ac:dyDescent="0.25">
      <c r="A124" s="10" t="s">
        <v>66</v>
      </c>
      <c r="B124" s="19"/>
      <c r="C124" s="12"/>
      <c r="D124" s="21"/>
      <c r="E124" s="20"/>
      <c r="F124" s="21"/>
    </row>
    <row r="125" spans="1:6" x14ac:dyDescent="0.25">
      <c r="A125" s="11"/>
      <c r="B125" s="19"/>
      <c r="C125" s="12">
        <f>-14.5-105</f>
        <v>-119.5</v>
      </c>
      <c r="D125" s="21"/>
      <c r="E125" s="20"/>
      <c r="F125" s="21"/>
    </row>
    <row r="126" spans="1:6" x14ac:dyDescent="0.25">
      <c r="A126" s="11"/>
      <c r="B126" s="19"/>
      <c r="C126" s="12"/>
      <c r="D126" s="21"/>
      <c r="E126" s="20"/>
      <c r="F126" s="21"/>
    </row>
    <row r="127" spans="1:6" x14ac:dyDescent="0.25">
      <c r="A127" s="11"/>
      <c r="B127" s="19"/>
      <c r="C127" s="12">
        <f>-14.5-108</f>
        <v>-122.5</v>
      </c>
      <c r="D127" s="21"/>
      <c r="E127" s="20"/>
      <c r="F127" s="21"/>
    </row>
    <row r="128" spans="1:6" ht="37.5" x14ac:dyDescent="0.25">
      <c r="A128" s="22" t="s">
        <v>17</v>
      </c>
    </row>
    <row r="129" spans="1:6" ht="15.75" thickBot="1" x14ac:dyDescent="0.3">
      <c r="A129" s="3" t="s">
        <v>58</v>
      </c>
      <c r="B129" s="4"/>
      <c r="C129" s="4" t="s">
        <v>8</v>
      </c>
      <c r="D129" s="4" t="s">
        <v>9</v>
      </c>
      <c r="E129" s="4" t="s">
        <v>10</v>
      </c>
      <c r="F129" s="4" t="s">
        <v>11</v>
      </c>
    </row>
    <row r="130" spans="1:6" x14ac:dyDescent="0.25">
      <c r="A130" s="5">
        <v>341</v>
      </c>
      <c r="B130" s="14">
        <v>12</v>
      </c>
      <c r="C130" s="8">
        <f>-3.5-102</f>
        <v>-105.5</v>
      </c>
      <c r="D130" s="18">
        <f>-3.5-102</f>
        <v>-105.5</v>
      </c>
      <c r="E130" s="18" t="s">
        <v>69</v>
      </c>
      <c r="F130" s="18">
        <v>-225</v>
      </c>
    </row>
    <row r="131" spans="1:6" x14ac:dyDescent="0.25">
      <c r="A131" s="6" t="s">
        <v>68</v>
      </c>
      <c r="B131" s="13"/>
      <c r="C131" s="8"/>
      <c r="D131" s="17"/>
      <c r="E131" s="17"/>
      <c r="F131" s="17"/>
    </row>
    <row r="132" spans="1:6" x14ac:dyDescent="0.25">
      <c r="A132" s="7"/>
      <c r="B132" s="13"/>
      <c r="C132" s="8">
        <f>-3.5-112</f>
        <v>-115.5</v>
      </c>
      <c r="D132" s="17"/>
      <c r="E132" s="17"/>
      <c r="F132" s="17"/>
    </row>
    <row r="133" spans="1:6" x14ac:dyDescent="0.25">
      <c r="A133" s="7"/>
      <c r="B133" s="13"/>
      <c r="C133" s="8"/>
      <c r="D133" s="17"/>
      <c r="E133" s="17"/>
      <c r="F133" s="17"/>
    </row>
    <row r="134" spans="1:6" x14ac:dyDescent="0.25">
      <c r="A134" s="7"/>
      <c r="B134" s="13"/>
      <c r="C134" s="8">
        <f>-3.5-112</f>
        <v>-115.5</v>
      </c>
      <c r="D134" s="17"/>
      <c r="E134" s="17"/>
      <c r="F134" s="17"/>
    </row>
    <row r="135" spans="1:6" x14ac:dyDescent="0.25">
      <c r="A135" s="9">
        <v>342</v>
      </c>
      <c r="B135" s="19">
        <v>14</v>
      </c>
      <c r="C135" s="12" t="s">
        <v>71</v>
      </c>
      <c r="D135" s="21">
        <f>3.5-118</f>
        <v>-114.5</v>
      </c>
      <c r="E135" s="21" t="s">
        <v>71</v>
      </c>
      <c r="F135" s="21">
        <v>180</v>
      </c>
    </row>
    <row r="136" spans="1:6" x14ac:dyDescent="0.25">
      <c r="A136" s="10" t="s">
        <v>70</v>
      </c>
      <c r="B136" s="19"/>
      <c r="C136" s="12"/>
      <c r="D136" s="21"/>
      <c r="E136" s="21"/>
      <c r="F136" s="21"/>
    </row>
    <row r="137" spans="1:6" x14ac:dyDescent="0.25">
      <c r="A137" s="11"/>
      <c r="B137" s="19"/>
      <c r="C137" s="12" t="s">
        <v>71</v>
      </c>
      <c r="D137" s="21"/>
      <c r="E137" s="21"/>
      <c r="F137" s="21"/>
    </row>
    <row r="138" spans="1:6" x14ac:dyDescent="0.25">
      <c r="A138" s="11"/>
      <c r="B138" s="19"/>
      <c r="C138" s="12"/>
      <c r="D138" s="21"/>
      <c r="E138" s="21"/>
      <c r="F138" s="21"/>
    </row>
    <row r="139" spans="1:6" x14ac:dyDescent="0.25">
      <c r="A139" s="11"/>
      <c r="B139" s="19"/>
      <c r="C139" s="12" t="s">
        <v>72</v>
      </c>
      <c r="D139" s="21"/>
      <c r="E139" s="21"/>
      <c r="F139" s="21"/>
    </row>
    <row r="140" spans="1:6" ht="37.5" x14ac:dyDescent="0.25">
      <c r="A140" s="22" t="s">
        <v>17</v>
      </c>
    </row>
    <row r="141" spans="1:6" ht="15.75" thickBot="1" x14ac:dyDescent="0.3">
      <c r="A141" s="3" t="s">
        <v>58</v>
      </c>
      <c r="B141" s="4"/>
      <c r="C141" s="4" t="s">
        <v>8</v>
      </c>
      <c r="D141" s="4" t="s">
        <v>9</v>
      </c>
      <c r="E141" s="4" t="s">
        <v>10</v>
      </c>
      <c r="F141" s="4" t="s">
        <v>11</v>
      </c>
    </row>
    <row r="142" spans="1:6" x14ac:dyDescent="0.25">
      <c r="A142" s="5">
        <v>363</v>
      </c>
      <c r="B142" s="14">
        <v>3</v>
      </c>
      <c r="C142" s="8" t="s">
        <v>74</v>
      </c>
      <c r="D142" s="18">
        <f>15.5-108</f>
        <v>-92.5</v>
      </c>
      <c r="E142" s="18" t="s">
        <v>74</v>
      </c>
      <c r="F142" s="18">
        <v>950</v>
      </c>
    </row>
    <row r="143" spans="1:6" x14ac:dyDescent="0.25">
      <c r="A143" s="6" t="s">
        <v>73</v>
      </c>
      <c r="B143" s="13"/>
      <c r="C143" s="8"/>
      <c r="D143" s="17"/>
      <c r="E143" s="17"/>
      <c r="F143" s="17"/>
    </row>
    <row r="144" spans="1:6" x14ac:dyDescent="0.25">
      <c r="A144" s="7"/>
      <c r="B144" s="13"/>
      <c r="C144" s="8" t="s">
        <v>75</v>
      </c>
      <c r="D144" s="17"/>
      <c r="E144" s="17"/>
      <c r="F144" s="17"/>
    </row>
    <row r="145" spans="1:6" x14ac:dyDescent="0.25">
      <c r="A145" s="7"/>
      <c r="B145" s="13"/>
      <c r="C145" s="8"/>
      <c r="D145" s="17"/>
      <c r="E145" s="17"/>
      <c r="F145" s="17"/>
    </row>
    <row r="146" spans="1:6" x14ac:dyDescent="0.25">
      <c r="A146" s="7"/>
      <c r="B146" s="13"/>
      <c r="C146" s="8" t="s">
        <v>75</v>
      </c>
      <c r="D146" s="17"/>
      <c r="E146" s="17"/>
      <c r="F146" s="17"/>
    </row>
    <row r="147" spans="1:6" x14ac:dyDescent="0.25">
      <c r="A147" s="9">
        <v>364</v>
      </c>
      <c r="B147" s="19">
        <v>19</v>
      </c>
      <c r="C147" s="12">
        <f>-15.5-108</f>
        <v>-123.5</v>
      </c>
      <c r="D147" s="21">
        <f>-15.5-112</f>
        <v>-127.5</v>
      </c>
      <c r="E147" s="21" t="s">
        <v>77</v>
      </c>
      <c r="F147" s="21">
        <v>-1600</v>
      </c>
    </row>
    <row r="148" spans="1:6" x14ac:dyDescent="0.25">
      <c r="A148" s="10" t="s">
        <v>76</v>
      </c>
      <c r="B148" s="19"/>
      <c r="C148" s="12"/>
      <c r="D148" s="21"/>
      <c r="E148" s="21"/>
      <c r="F148" s="21"/>
    </row>
    <row r="149" spans="1:6" x14ac:dyDescent="0.25">
      <c r="A149" s="11"/>
      <c r="B149" s="19"/>
      <c r="C149" s="12">
        <f>-15.5-108</f>
        <v>-123.5</v>
      </c>
      <c r="D149" s="21"/>
      <c r="E149" s="21"/>
      <c r="F149" s="21"/>
    </row>
    <row r="150" spans="1:6" x14ac:dyDescent="0.25">
      <c r="A150" s="11"/>
      <c r="B150" s="19"/>
      <c r="C150" s="12"/>
      <c r="D150" s="21"/>
      <c r="E150" s="21"/>
      <c r="F150" s="21"/>
    </row>
    <row r="151" spans="1:6" x14ac:dyDescent="0.25">
      <c r="A151" s="11"/>
      <c r="B151" s="19"/>
      <c r="C151" s="12">
        <f>-15.5-105</f>
        <v>-120.5</v>
      </c>
      <c r="D151" s="21"/>
      <c r="E151" s="21"/>
      <c r="F151" s="21"/>
    </row>
    <row r="152" spans="1:6" ht="37.5" x14ac:dyDescent="0.25">
      <c r="A152" s="22" t="s">
        <v>17</v>
      </c>
    </row>
    <row r="153" spans="1:6" ht="15.75" thickBot="1" x14ac:dyDescent="0.3">
      <c r="A153" s="3" t="s">
        <v>58</v>
      </c>
      <c r="B153" s="4"/>
      <c r="C153" s="4" t="s">
        <v>8</v>
      </c>
      <c r="D153" s="4" t="s">
        <v>9</v>
      </c>
      <c r="E153" s="4" t="s">
        <v>10</v>
      </c>
      <c r="F153" s="4" t="s">
        <v>11</v>
      </c>
    </row>
    <row r="154" spans="1:6" x14ac:dyDescent="0.25">
      <c r="A154" s="5">
        <v>355</v>
      </c>
      <c r="B154" s="25">
        <v>24</v>
      </c>
      <c r="C154" s="8" t="s">
        <v>79</v>
      </c>
      <c r="D154" s="16">
        <f>3-102</f>
        <v>-99</v>
      </c>
      <c r="E154" s="16" t="s">
        <v>79</v>
      </c>
      <c r="F154" s="16">
        <v>150</v>
      </c>
    </row>
    <row r="155" spans="1:6" x14ac:dyDescent="0.25">
      <c r="A155" s="6" t="s">
        <v>78</v>
      </c>
      <c r="B155" s="24"/>
      <c r="C155" s="8"/>
      <c r="D155" s="15"/>
      <c r="E155" s="15"/>
      <c r="F155" s="15"/>
    </row>
    <row r="156" spans="1:6" x14ac:dyDescent="0.25">
      <c r="A156" s="7"/>
      <c r="B156" s="24"/>
      <c r="C156" s="8" t="s">
        <v>79</v>
      </c>
      <c r="D156" s="15"/>
      <c r="E156" s="15"/>
      <c r="F156" s="15"/>
    </row>
    <row r="157" spans="1:6" x14ac:dyDescent="0.25">
      <c r="A157" s="7"/>
      <c r="B157" s="24"/>
      <c r="C157" s="8"/>
      <c r="D157" s="15"/>
      <c r="E157" s="15"/>
      <c r="F157" s="15"/>
    </row>
    <row r="158" spans="1:6" x14ac:dyDescent="0.25">
      <c r="A158" s="7"/>
      <c r="B158" s="24"/>
      <c r="C158" s="8" t="s">
        <v>79</v>
      </c>
      <c r="D158" s="15"/>
      <c r="E158" s="15"/>
      <c r="F158" s="15"/>
    </row>
    <row r="159" spans="1:6" x14ac:dyDescent="0.25">
      <c r="A159" s="9">
        <v>356</v>
      </c>
      <c r="B159" s="26">
        <v>17</v>
      </c>
      <c r="C159" s="12">
        <f>-3-118</f>
        <v>-121</v>
      </c>
      <c r="D159" s="20">
        <f>-3-118</f>
        <v>-121</v>
      </c>
      <c r="E159" s="20" t="s">
        <v>81</v>
      </c>
      <c r="F159" s="20">
        <v>-175</v>
      </c>
    </row>
    <row r="160" spans="1:6" x14ac:dyDescent="0.25">
      <c r="A160" s="10" t="s">
        <v>80</v>
      </c>
      <c r="B160" s="26"/>
      <c r="C160" s="12"/>
      <c r="D160" s="20"/>
      <c r="E160" s="20"/>
      <c r="F160" s="20"/>
    </row>
    <row r="161" spans="1:6" x14ac:dyDescent="0.25">
      <c r="A161" s="11"/>
      <c r="B161" s="26"/>
      <c r="C161" s="12">
        <f>-3-115</f>
        <v>-118</v>
      </c>
      <c r="D161" s="20"/>
      <c r="E161" s="20"/>
      <c r="F161" s="20"/>
    </row>
    <row r="162" spans="1:6" x14ac:dyDescent="0.25">
      <c r="A162" s="11"/>
      <c r="B162" s="26"/>
      <c r="C162" s="12"/>
      <c r="D162" s="20"/>
      <c r="E162" s="20"/>
      <c r="F162" s="20"/>
    </row>
    <row r="163" spans="1:6" x14ac:dyDescent="0.25">
      <c r="A163" s="11"/>
      <c r="B163" s="26"/>
      <c r="C163" s="12">
        <f>-3-120</f>
        <v>-123</v>
      </c>
      <c r="D163" s="20"/>
      <c r="E163" s="20"/>
      <c r="F163" s="20"/>
    </row>
    <row r="164" spans="1:6" ht="37.5" x14ac:dyDescent="0.25">
      <c r="A164" s="22" t="s">
        <v>17</v>
      </c>
    </row>
    <row r="165" spans="1:6" ht="15.75" thickBot="1" x14ac:dyDescent="0.3">
      <c r="A165" s="3" t="s">
        <v>58</v>
      </c>
      <c r="B165" s="4"/>
      <c r="C165" s="4" t="s">
        <v>8</v>
      </c>
      <c r="D165" s="4" t="s">
        <v>9</v>
      </c>
      <c r="E165" s="4" t="s">
        <v>10</v>
      </c>
      <c r="F165" s="4" t="s">
        <v>11</v>
      </c>
    </row>
    <row r="166" spans="1:6" x14ac:dyDescent="0.25">
      <c r="A166" s="5">
        <v>343</v>
      </c>
      <c r="B166" s="25">
        <v>19</v>
      </c>
      <c r="C166" s="8" t="s">
        <v>83</v>
      </c>
      <c r="D166" s="16">
        <f>3-108</f>
        <v>-105</v>
      </c>
      <c r="E166" s="18" t="s">
        <v>83</v>
      </c>
      <c r="F166" s="16">
        <v>142</v>
      </c>
    </row>
    <row r="167" spans="1:6" x14ac:dyDescent="0.25">
      <c r="A167" s="6" t="s">
        <v>82</v>
      </c>
      <c r="B167" s="24"/>
      <c r="C167" s="8"/>
      <c r="D167" s="15"/>
      <c r="E167" s="17"/>
      <c r="F167" s="15"/>
    </row>
    <row r="168" spans="1:6" x14ac:dyDescent="0.25">
      <c r="A168" s="7"/>
      <c r="B168" s="24"/>
      <c r="C168" s="8" t="s">
        <v>83</v>
      </c>
      <c r="D168" s="15"/>
      <c r="E168" s="17"/>
      <c r="F168" s="15"/>
    </row>
    <row r="169" spans="1:6" x14ac:dyDescent="0.25">
      <c r="A169" s="7"/>
      <c r="B169" s="24"/>
      <c r="C169" s="8"/>
      <c r="D169" s="15"/>
      <c r="E169" s="17"/>
      <c r="F169" s="15"/>
    </row>
    <row r="170" spans="1:6" x14ac:dyDescent="0.25">
      <c r="A170" s="7"/>
      <c r="B170" s="24"/>
      <c r="C170" s="8" t="s">
        <v>83</v>
      </c>
      <c r="D170" s="15"/>
      <c r="E170" s="17"/>
      <c r="F170" s="15"/>
    </row>
    <row r="171" spans="1:6" x14ac:dyDescent="0.25">
      <c r="A171" s="9">
        <v>344</v>
      </c>
      <c r="B171" s="26">
        <v>16</v>
      </c>
      <c r="C171" s="12">
        <f>-3-112</f>
        <v>-115</v>
      </c>
      <c r="D171" s="20">
        <f>-3-112</f>
        <v>-115</v>
      </c>
      <c r="E171" s="21" t="s">
        <v>85</v>
      </c>
      <c r="F171" s="20">
        <v>-170</v>
      </c>
    </row>
    <row r="172" spans="1:6" x14ac:dyDescent="0.25">
      <c r="A172" s="10" t="s">
        <v>84</v>
      </c>
      <c r="B172" s="26"/>
      <c r="C172" s="12"/>
      <c r="D172" s="20"/>
      <c r="E172" s="21"/>
      <c r="F172" s="20"/>
    </row>
    <row r="173" spans="1:6" x14ac:dyDescent="0.25">
      <c r="A173" s="11"/>
      <c r="B173" s="26"/>
      <c r="C173" s="12">
        <f>-3-112</f>
        <v>-115</v>
      </c>
      <c r="D173" s="20"/>
      <c r="E173" s="21"/>
      <c r="F173" s="20"/>
    </row>
    <row r="174" spans="1:6" x14ac:dyDescent="0.25">
      <c r="A174" s="11"/>
      <c r="B174" s="26"/>
      <c r="C174" s="12"/>
      <c r="D174" s="20"/>
      <c r="E174" s="21"/>
      <c r="F174" s="20"/>
    </row>
    <row r="175" spans="1:6" x14ac:dyDescent="0.25">
      <c r="A175" s="11"/>
      <c r="B175" s="26"/>
      <c r="C175" s="12">
        <f>-3-112</f>
        <v>-115</v>
      </c>
      <c r="D175" s="20"/>
      <c r="E175" s="21"/>
      <c r="F175" s="20"/>
    </row>
    <row r="176" spans="1:6" ht="37.5" x14ac:dyDescent="0.25">
      <c r="A176" s="22" t="s">
        <v>17</v>
      </c>
    </row>
    <row r="177" spans="1:6" ht="15.75" thickBot="1" x14ac:dyDescent="0.3">
      <c r="A177" s="3" t="s">
        <v>58</v>
      </c>
      <c r="B177" s="4"/>
      <c r="C177" s="4" t="s">
        <v>8</v>
      </c>
      <c r="D177" s="4" t="s">
        <v>9</v>
      </c>
      <c r="E177" s="4" t="s">
        <v>10</v>
      </c>
      <c r="F177" s="4" t="s">
        <v>11</v>
      </c>
    </row>
    <row r="178" spans="1:6" x14ac:dyDescent="0.25">
      <c r="A178" s="5">
        <v>339</v>
      </c>
      <c r="B178" s="14">
        <v>10</v>
      </c>
      <c r="C178" s="8" t="s">
        <v>87</v>
      </c>
      <c r="D178" s="18">
        <f>14.5-112</f>
        <v>-97.5</v>
      </c>
      <c r="E178" s="16" t="s">
        <v>89</v>
      </c>
      <c r="F178" s="18">
        <v>700</v>
      </c>
    </row>
    <row r="179" spans="1:6" x14ac:dyDescent="0.25">
      <c r="A179" s="6" t="s">
        <v>86</v>
      </c>
      <c r="B179" s="13"/>
      <c r="C179" s="8"/>
      <c r="D179" s="17"/>
      <c r="E179" s="15"/>
      <c r="F179" s="17"/>
    </row>
    <row r="180" spans="1:6" x14ac:dyDescent="0.25">
      <c r="A180" s="7"/>
      <c r="B180" s="13"/>
      <c r="C180" s="8" t="s">
        <v>88</v>
      </c>
      <c r="D180" s="17"/>
      <c r="E180" s="15"/>
      <c r="F180" s="17"/>
    </row>
    <row r="181" spans="1:6" x14ac:dyDescent="0.25">
      <c r="A181" s="7"/>
      <c r="B181" s="13"/>
      <c r="C181" s="8"/>
      <c r="D181" s="17"/>
      <c r="E181" s="15"/>
      <c r="F181" s="17"/>
    </row>
    <row r="182" spans="1:6" x14ac:dyDescent="0.25">
      <c r="A182" s="7"/>
      <c r="B182" s="13"/>
      <c r="C182" s="8" t="s">
        <v>87</v>
      </c>
      <c r="D182" s="17"/>
      <c r="E182" s="15"/>
      <c r="F182" s="17"/>
    </row>
    <row r="183" spans="1:6" x14ac:dyDescent="0.25">
      <c r="A183" s="9">
        <v>340</v>
      </c>
      <c r="B183" s="19">
        <v>38</v>
      </c>
      <c r="C183" s="12">
        <f>-14.5-108</f>
        <v>-122.5</v>
      </c>
      <c r="D183" s="21">
        <f>-14.5-108</f>
        <v>-122.5</v>
      </c>
      <c r="E183" s="20" t="s">
        <v>87</v>
      </c>
      <c r="F183" s="21">
        <v>-1000</v>
      </c>
    </row>
    <row r="184" spans="1:6" x14ac:dyDescent="0.25">
      <c r="A184" s="10" t="s">
        <v>90</v>
      </c>
      <c r="B184" s="19"/>
      <c r="C184" s="12"/>
      <c r="D184" s="21"/>
      <c r="E184" s="20"/>
      <c r="F184" s="21"/>
    </row>
    <row r="185" spans="1:6" x14ac:dyDescent="0.25">
      <c r="A185" s="11"/>
      <c r="B185" s="19"/>
      <c r="C185" s="12">
        <f>-14.5-108</f>
        <v>-122.5</v>
      </c>
      <c r="D185" s="21"/>
      <c r="E185" s="20"/>
      <c r="F185" s="21"/>
    </row>
    <row r="186" spans="1:6" x14ac:dyDescent="0.25">
      <c r="A186" s="11"/>
      <c r="B186" s="19"/>
      <c r="C186" s="12"/>
      <c r="D186" s="21"/>
      <c r="E186" s="20"/>
      <c r="F186" s="21"/>
    </row>
    <row r="187" spans="1:6" x14ac:dyDescent="0.25">
      <c r="A187" s="11"/>
      <c r="B187" s="19"/>
      <c r="C187" s="12">
        <f>-14.5-108</f>
        <v>-122.5</v>
      </c>
      <c r="D187" s="21"/>
      <c r="E187" s="20"/>
      <c r="F187" s="21"/>
    </row>
    <row r="188" spans="1:6" ht="37.5" x14ac:dyDescent="0.25">
      <c r="A188" s="22" t="s">
        <v>17</v>
      </c>
    </row>
    <row r="189" spans="1:6" ht="15.75" thickBot="1" x14ac:dyDescent="0.3">
      <c r="A189" s="3" t="s">
        <v>91</v>
      </c>
      <c r="B189" s="4"/>
      <c r="C189" s="4" t="s">
        <v>8</v>
      </c>
      <c r="D189" s="4" t="s">
        <v>9</v>
      </c>
      <c r="E189" s="4" t="s">
        <v>10</v>
      </c>
      <c r="F189" s="4" t="s">
        <v>11</v>
      </c>
    </row>
    <row r="190" spans="1:6" x14ac:dyDescent="0.25">
      <c r="A190" s="5">
        <v>349</v>
      </c>
      <c r="B190" s="14">
        <v>24</v>
      </c>
      <c r="C190" s="8">
        <f>-4.5-105</f>
        <v>-109.5</v>
      </c>
      <c r="D190" s="18">
        <f>-4.5-105</f>
        <v>-109.5</v>
      </c>
      <c r="E190" s="16" t="s">
        <v>94</v>
      </c>
      <c r="F190" s="18">
        <v>-218</v>
      </c>
    </row>
    <row r="191" spans="1:6" x14ac:dyDescent="0.25">
      <c r="A191" s="6" t="s">
        <v>92</v>
      </c>
      <c r="B191" s="13"/>
      <c r="C191" s="8"/>
      <c r="D191" s="17"/>
      <c r="E191" s="15"/>
      <c r="F191" s="17"/>
    </row>
    <row r="192" spans="1:6" x14ac:dyDescent="0.25">
      <c r="A192" s="7"/>
      <c r="B192" s="13"/>
      <c r="C192" s="8" t="s">
        <v>93</v>
      </c>
      <c r="D192" s="17"/>
      <c r="E192" s="15"/>
      <c r="F192" s="17"/>
    </row>
    <row r="193" spans="1:6" x14ac:dyDescent="0.25">
      <c r="A193" s="7"/>
      <c r="B193" s="13"/>
      <c r="C193" s="8"/>
      <c r="D193" s="17"/>
      <c r="E193" s="15"/>
      <c r="F193" s="17"/>
    </row>
    <row r="194" spans="1:6" x14ac:dyDescent="0.25">
      <c r="A194" s="7"/>
      <c r="B194" s="13"/>
      <c r="C194" s="8">
        <f>-3.5-115</f>
        <v>-118.5</v>
      </c>
      <c r="D194" s="17"/>
      <c r="E194" s="15"/>
      <c r="F194" s="17"/>
    </row>
    <row r="195" spans="1:6" x14ac:dyDescent="0.25">
      <c r="A195" s="9">
        <v>350</v>
      </c>
      <c r="B195" s="19">
        <v>26</v>
      </c>
      <c r="C195" s="12" t="s">
        <v>94</v>
      </c>
      <c r="D195" s="21">
        <f>4.5-115</f>
        <v>-110.5</v>
      </c>
      <c r="E195" s="20" t="s">
        <v>96</v>
      </c>
      <c r="F195" s="21">
        <v>180</v>
      </c>
    </row>
    <row r="196" spans="1:6" x14ac:dyDescent="0.25">
      <c r="A196" s="10" t="s">
        <v>95</v>
      </c>
      <c r="B196" s="19"/>
      <c r="C196" s="12"/>
      <c r="D196" s="21"/>
      <c r="E196" s="20"/>
      <c r="F196" s="21"/>
    </row>
    <row r="197" spans="1:6" x14ac:dyDescent="0.25">
      <c r="A197" s="11"/>
      <c r="B197" s="19"/>
      <c r="C197" s="12" t="s">
        <v>94</v>
      </c>
      <c r="D197" s="21"/>
      <c r="E197" s="20"/>
      <c r="F197" s="21"/>
    </row>
    <row r="198" spans="1:6" x14ac:dyDescent="0.25">
      <c r="A198" s="11"/>
      <c r="B198" s="19"/>
      <c r="C198" s="12"/>
      <c r="D198" s="21"/>
      <c r="E198" s="20"/>
      <c r="F198" s="21"/>
    </row>
    <row r="199" spans="1:6" x14ac:dyDescent="0.25">
      <c r="A199" s="11"/>
      <c r="B199" s="19"/>
      <c r="C199" s="12" t="s">
        <v>94</v>
      </c>
      <c r="D199" s="21"/>
      <c r="E199" s="20"/>
      <c r="F199" s="21"/>
    </row>
  </sheetData>
  <mergeCells count="128">
    <mergeCell ref="B190:B194"/>
    <mergeCell ref="D190:D194"/>
    <mergeCell ref="E190:E194"/>
    <mergeCell ref="F190:F194"/>
    <mergeCell ref="B195:B199"/>
    <mergeCell ref="D195:D199"/>
    <mergeCell ref="E195:E199"/>
    <mergeCell ref="F195:F199"/>
    <mergeCell ref="B178:B182"/>
    <mergeCell ref="D178:D182"/>
    <mergeCell ref="E178:E182"/>
    <mergeCell ref="F178:F182"/>
    <mergeCell ref="B183:B187"/>
    <mergeCell ref="D183:D187"/>
    <mergeCell ref="E183:E187"/>
    <mergeCell ref="F183:F187"/>
    <mergeCell ref="B166:B170"/>
    <mergeCell ref="D166:D170"/>
    <mergeCell ref="E166:E170"/>
    <mergeCell ref="F166:F170"/>
    <mergeCell ref="B171:B175"/>
    <mergeCell ref="D171:D175"/>
    <mergeCell ref="E171:E175"/>
    <mergeCell ref="F171:F175"/>
    <mergeCell ref="B154:B158"/>
    <mergeCell ref="D154:D158"/>
    <mergeCell ref="E154:E158"/>
    <mergeCell ref="F154:F158"/>
    <mergeCell ref="B159:B163"/>
    <mergeCell ref="D159:D163"/>
    <mergeCell ref="E159:E163"/>
    <mergeCell ref="F159:F163"/>
    <mergeCell ref="B142:B146"/>
    <mergeCell ref="D142:D146"/>
    <mergeCell ref="E142:E146"/>
    <mergeCell ref="F142:F146"/>
    <mergeCell ref="B147:B151"/>
    <mergeCell ref="D147:D151"/>
    <mergeCell ref="E147:E151"/>
    <mergeCell ref="F147:F151"/>
    <mergeCell ref="B130:B134"/>
    <mergeCell ref="D130:D134"/>
    <mergeCell ref="E130:E134"/>
    <mergeCell ref="F130:F134"/>
    <mergeCell ref="B135:B139"/>
    <mergeCell ref="D135:D139"/>
    <mergeCell ref="E135:E139"/>
    <mergeCell ref="F135:F139"/>
    <mergeCell ref="B118:B122"/>
    <mergeCell ref="D118:D122"/>
    <mergeCell ref="E118:E122"/>
    <mergeCell ref="F118:F122"/>
    <mergeCell ref="B123:B127"/>
    <mergeCell ref="D123:D127"/>
    <mergeCell ref="E123:E127"/>
    <mergeCell ref="F123:F127"/>
    <mergeCell ref="B106:B110"/>
    <mergeCell ref="D106:D110"/>
    <mergeCell ref="E106:E110"/>
    <mergeCell ref="F106:F110"/>
    <mergeCell ref="B111:B115"/>
    <mergeCell ref="D111:D115"/>
    <mergeCell ref="E111:E115"/>
    <mergeCell ref="F111:F115"/>
    <mergeCell ref="B94:B98"/>
    <mergeCell ref="D94:D98"/>
    <mergeCell ref="E94:E98"/>
    <mergeCell ref="F94:F98"/>
    <mergeCell ref="B99:B103"/>
    <mergeCell ref="D99:D103"/>
    <mergeCell ref="E99:E103"/>
    <mergeCell ref="F99:F103"/>
    <mergeCell ref="B82:B86"/>
    <mergeCell ref="D82:D86"/>
    <mergeCell ref="E82:E86"/>
    <mergeCell ref="F82:F86"/>
    <mergeCell ref="B87:B91"/>
    <mergeCell ref="D87:D91"/>
    <mergeCell ref="E87:E91"/>
    <mergeCell ref="F87:F91"/>
    <mergeCell ref="B70:B74"/>
    <mergeCell ref="D70:D74"/>
    <mergeCell ref="E70:E74"/>
    <mergeCell ref="F70:F74"/>
    <mergeCell ref="B75:B79"/>
    <mergeCell ref="D75:D79"/>
    <mergeCell ref="E75:E79"/>
    <mergeCell ref="F75:F79"/>
    <mergeCell ref="B58:B62"/>
    <mergeCell ref="D58:D62"/>
    <mergeCell ref="E58:E62"/>
    <mergeCell ref="F58:F62"/>
    <mergeCell ref="B63:B67"/>
    <mergeCell ref="D63:D67"/>
    <mergeCell ref="E63:E67"/>
    <mergeCell ref="F63:F67"/>
    <mergeCell ref="B46:B50"/>
    <mergeCell ref="D46:D50"/>
    <mergeCell ref="E46:E50"/>
    <mergeCell ref="F46:F50"/>
    <mergeCell ref="B51:B55"/>
    <mergeCell ref="D51:D55"/>
    <mergeCell ref="E51:E55"/>
    <mergeCell ref="F51:F55"/>
    <mergeCell ref="B34:B38"/>
    <mergeCell ref="D34:D38"/>
    <mergeCell ref="E34:E38"/>
    <mergeCell ref="F34:F38"/>
    <mergeCell ref="B39:B43"/>
    <mergeCell ref="D39:D43"/>
    <mergeCell ref="E39:E43"/>
    <mergeCell ref="F39:F43"/>
    <mergeCell ref="B22:B26"/>
    <mergeCell ref="D22:D26"/>
    <mergeCell ref="E22:E26"/>
    <mergeCell ref="F22:F26"/>
    <mergeCell ref="B27:B31"/>
    <mergeCell ref="D27:D31"/>
    <mergeCell ref="E27:E31"/>
    <mergeCell ref="F27:F31"/>
    <mergeCell ref="B9:B13"/>
    <mergeCell ref="D9:D13"/>
    <mergeCell ref="E9:E13"/>
    <mergeCell ref="F9:F13"/>
    <mergeCell ref="B14:B18"/>
    <mergeCell ref="D14:D18"/>
    <mergeCell ref="E14:E18"/>
    <mergeCell ref="F14:F18"/>
  </mergeCells>
  <hyperlinks>
    <hyperlink ref="A2" r:id="rId1" display="https://www.scoresandodds.com/nfl/odds" xr:uid="{7E8A4E1C-11C2-4FB5-92C2-28FA7074CA66}"/>
    <hyperlink ref="A3" r:id="rId2" display="https://www.scoresandodds.com/nfl/consensus-picks" xr:uid="{55AA397E-198D-4F60-8E6A-64403EB38DF9}"/>
    <hyperlink ref="A4" r:id="rId3" display="https://www.scoresandodds.com/nfl/more-lines" xr:uid="{DF22AE19-2D06-4EDE-A14C-D07681B283CC}"/>
    <hyperlink ref="A5" r:id="rId4" display="https://www.scoresandodds.com/nfl/props" xr:uid="{23BBD92E-E54F-41AB-B753-1AAF6DE489EE}"/>
    <hyperlink ref="A6" r:id="rId5" display="https://www.scoresandodds.com/nfl/parlays" xr:uid="{E31687FD-FD34-4985-8D9C-04ADAC51B455}"/>
    <hyperlink ref="A7" r:id="rId6" display="https://www.scoresandodds.com/nfl/picks" xr:uid="{BD847AE7-7F56-40B4-904C-6AFDDD22934C}"/>
    <hyperlink ref="A10" r:id="rId7" display="https://www.scoresandodds.com/nfl/teams/panthers" xr:uid="{9124586A-C855-409E-B2A7-809ECACAC798}"/>
    <hyperlink ref="A15" r:id="rId8" display="https://www.scoresandodds.com/nfl/teams/buccaneers" xr:uid="{643A7318-B884-40FB-A570-013FFC902940}"/>
    <hyperlink ref="A23" r:id="rId9" display="https://www.scoresandodds.com/nfl/teams/seahawks" xr:uid="{38B1E680-E84F-4B99-B6AD-D15901E9FDB4}"/>
    <hyperlink ref="A28" r:id="rId10" display="https://www.scoresandodds.com/nfl/teams/49ers" xr:uid="{8FA4AA28-0820-4BCA-9C46-19D1340B1726}"/>
    <hyperlink ref="A35" r:id="rId11" display="https://www.scoresandodds.com/nfl/teams/browns" xr:uid="{F28F834C-0655-4810-A89C-312448AE05D8}"/>
    <hyperlink ref="A40" r:id="rId12" display="https://www.scoresandodds.com/nfl/teams/bengals" xr:uid="{666269DE-61EB-4B9F-91B2-26324C91FBD2}"/>
    <hyperlink ref="A47" r:id="rId13" display="https://www.scoresandodds.com/nfl/teams/colts" xr:uid="{4831E936-FD9E-49DA-9295-A265B2D470E7}"/>
    <hyperlink ref="A52" r:id="rId14" display="https://www.scoresandodds.com/nfl/teams/texans" xr:uid="{3A181AC4-6B77-4351-921F-FF3353D6CAEC}"/>
    <hyperlink ref="A59" r:id="rId15" display="https://www.scoresandodds.com/nfl/teams/saints" xr:uid="{B56FB3CF-8380-4215-92FA-97BED70DA5AA}"/>
    <hyperlink ref="A64" r:id="rId16" display="https://www.scoresandodds.com/nfl/teams/falcons" xr:uid="{C038CD9C-7C6A-43D5-9EAB-F5399A50F755}"/>
    <hyperlink ref="A71" r:id="rId17" display="https://www.scoresandodds.com/nfl/teams/cowboys" xr:uid="{5066656F-3311-44FF-920A-C6C4A9C38B99}"/>
    <hyperlink ref="A76" r:id="rId18" display="https://www.scoresandodds.com/nfl/teams/giants" xr:uid="{B7425EA5-D54C-47CE-B832-CB19F0A1C077}"/>
    <hyperlink ref="A83" r:id="rId19" display="https://www.scoresandodds.com/nfl/teams/titans" xr:uid="{11E21DBB-6D8B-4054-A6EC-4431D0967424}"/>
    <hyperlink ref="A88" r:id="rId20" display="https://www.scoresandodds.com/nfl/teams/jaguars" xr:uid="{7DE97349-8B86-4E27-9D89-0DB659F341E2}"/>
    <hyperlink ref="A95" r:id="rId21" display="https://www.scoresandodds.com/nfl/teams/packers" xr:uid="{3E9F5AAA-18DA-4B5E-B524-CD205CA6353F}"/>
    <hyperlink ref="A100" r:id="rId22" display="https://www.scoresandodds.com/nfl/teams/vikings" xr:uid="{A82C84DC-5969-40EE-8068-5CF783D19109}"/>
    <hyperlink ref="A107" r:id="rId23" display="https://www.scoresandodds.com/nfl/teams/jets" xr:uid="{E607F50B-4ACE-4B5A-8F71-E3554A1CE62F}"/>
    <hyperlink ref="A112" r:id="rId24" display="https://www.scoresandodds.com/nfl/teams/bills" xr:uid="{A99906AC-478F-44A8-945B-80D7ADEE1F0D}"/>
    <hyperlink ref="A119" r:id="rId25" display="https://www.scoresandodds.com/nfl/teams/cardinals" xr:uid="{60EB335A-D380-4DC3-A4E3-49E67E161885}"/>
    <hyperlink ref="A124" r:id="rId26" display="https://www.scoresandodds.com/nfl/teams/rams" xr:uid="{B4A0A962-6667-4458-B653-D4C84A052FC9}"/>
    <hyperlink ref="A131" r:id="rId27" display="https://www.scoresandodds.com/nfl/teams/chiefs" xr:uid="{4103800E-39B3-45D6-9A26-7562F26B86FD}"/>
    <hyperlink ref="A136" r:id="rId28" display="https://www.scoresandodds.com/nfl/teams/raiders" xr:uid="{2689E70B-DE02-4C14-8065-239EC714582E}"/>
    <hyperlink ref="A143" r:id="rId29" display="https://www.scoresandodds.com/nfl/teams/chargers" xr:uid="{7D6CE443-8DDE-4DD8-85F8-6F4B26EABACA}"/>
    <hyperlink ref="A148" r:id="rId30" display="https://www.scoresandodds.com/nfl/teams/broncos" xr:uid="{28BF052C-E563-485F-8E65-B6ED7E9D326B}"/>
    <hyperlink ref="A155" r:id="rId31" display="https://www.scoresandodds.com/nfl/teams/commanders" xr:uid="{ABC34AE8-FB58-47FE-9464-104A11746311}"/>
    <hyperlink ref="A160" r:id="rId32" display="https://www.scoresandodds.com/nfl/teams/eagles" xr:uid="{D087A7E8-812B-4BFF-85A7-7EC9C6495FA8}"/>
    <hyperlink ref="A167" r:id="rId33" display="https://www.scoresandodds.com/nfl/teams/lions" xr:uid="{39D62927-56B9-4714-9FB3-D8A3204EEB81}"/>
    <hyperlink ref="A172" r:id="rId34" display="https://www.scoresandodds.com/nfl/teams/bears" xr:uid="{524A49FC-20E9-4171-BB66-33D050A5B825}"/>
    <hyperlink ref="A179" r:id="rId35" display="https://www.scoresandodds.com/nfl/teams/dolphins" xr:uid="{07D59100-B87B-452A-8E45-64F86E4D0980}"/>
    <hyperlink ref="A184" r:id="rId36" display="https://www.scoresandodds.com/nfl/teams/patriots" xr:uid="{B679829A-C635-4DF8-8DF4-E4D68BFB54C5}"/>
    <hyperlink ref="A191" r:id="rId37" display="https://www.scoresandodds.com/nfl/teams/ravens" xr:uid="{2C137641-8EDB-40CF-A637-7F29C8D93453}"/>
    <hyperlink ref="A196" r:id="rId38" display="https://www.scoresandodds.com/nfl/teams/steelers" xr:uid="{E2DA6B04-D75A-4D12-8D2B-6C7027A9D994}"/>
  </hyperlinks>
  <pageMargins left="0.7" right="0.7" top="0.75" bottom="0.75" header="0.3" footer="0.3"/>
  <drawing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WEEK 1</vt:lpstr>
      <vt:lpstr>WEEK 2</vt:lpstr>
      <vt:lpstr>WEEK 3</vt:lpstr>
      <vt:lpstr>WEEK 4</vt:lpstr>
      <vt:lpstr>WEEK 5</vt:lpstr>
      <vt:lpstr>WEEK 6</vt:lpstr>
      <vt:lpstr>WEEK 7</vt:lpstr>
      <vt:lpstr>WEEK 8</vt:lpstr>
      <vt:lpstr>WEEK 9</vt:lpstr>
      <vt:lpstr>WEEK 10</vt:lpstr>
      <vt:lpstr>WEEK 11</vt:lpstr>
      <vt:lpstr>WEEK 12</vt:lpstr>
      <vt:lpstr>WEEK 13</vt:lpstr>
      <vt:lpstr>WEEK 14</vt:lpstr>
      <vt:lpstr>WEEK 15</vt:lpstr>
      <vt:lpstr>WEEK 16</vt:lpstr>
      <vt:lpstr>WEEK 17</vt:lpstr>
      <vt:lpstr>WEEK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Acuna Moreno</dc:creator>
  <cp:lastModifiedBy>Alejandro Acuna Moreno</cp:lastModifiedBy>
  <dcterms:created xsi:type="dcterms:W3CDTF">2026-01-10T01:23:23Z</dcterms:created>
  <dcterms:modified xsi:type="dcterms:W3CDTF">2026-01-10T01:33:16Z</dcterms:modified>
</cp:coreProperties>
</file>